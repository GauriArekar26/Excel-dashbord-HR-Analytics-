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ms-excel.slicerCache+xml" PartName="/xl/slicerCaches/slicerCache4.xml"/>
  <Override ContentType="application/vnd.ms-excel.slicerCache+xml" PartName="/xl/slicerCaches/slicerCache1.xml"/>
  <Override ContentType="application/vnd.ms-excel.slicerCache+xml" PartName="/xl/slicerCaches/slicerCache2.xml"/>
  <Override ContentType="application/vnd.ms-excel.slicerCache+xml" PartName="/xl/slicerCaches/slicerCache3.xml"/>
  <Override ContentType="application/vnd.openxmlformats-officedocument.spreadsheetml.pivotTable+xml" PartName="/xl/pivotTables/pivotTabl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ms-excel.slicer+xml" PartName="/xl/slicers/slicer3.xml"/>
  <Override ContentType="application/vnd.ms-excel.slicer+xml" PartName="/xl/slicers/slicer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r_analytics_500_rows" sheetId="1" r:id="rId5"/>
    <sheet state="visible" name="Top 5 Emp" sheetId="2" r:id="rId6"/>
    <sheet state="visible" name="COUNT of Employee_ID" sheetId="3" r:id="rId7"/>
    <sheet state="visible" name="COUNTA of Name vs Location" sheetId="4" r:id="rId8"/>
    <sheet state="visible" name="Year Hiring Trend" sheetId="5" r:id="rId9"/>
    <sheet state="visible" name="Pivot Table 5" sheetId="6" r:id="rId10"/>
    <sheet state="visible" name="Dashboard" sheetId="7" r:id="rId11"/>
    <sheet state="visible" name="Pivot Table 2" sheetId="8" r:id="rId12"/>
  </sheets>
  <definedNames>
    <definedName hidden="1" localSheetId="3" name="_xlnm._FilterDatabase">'COUNTA of Name vs Location'!$A$1:$B$102</definedName>
    <definedName hidden="1" localSheetId="5" name="_xlnm._FilterDatabase">'Pivot Table 5'!$A$1:$B$7</definedName>
    <definedName hidden="1" localSheetId="0" name="Z_3B717D27_9F4F_4753_8CC6_37024164C384_.wvu.FilterData">hr_analytics_500_rows!$A$1:$O$501</definedName>
    <definedName hidden="1" localSheetId="0" name="Z_3B717D27_9F4F_4753_8CC6_37024164C384_.wvu.FilterData">hr_analytics_500_rows!$A$1:$O$501</definedName>
    <definedName hidden="1" localSheetId="0" name="Z_3B717D27_9F4F_4753_8CC6_37024164C384_.wvu.FilterData">hr_analytics_500_rows!$A$1:$O$501</definedName>
    <definedName name="SlicerCache_Table_1_Col_4">#N/A</definedName>
    <definedName name="SlicerCache_Table_1_Col_5">#N/A</definedName>
    <definedName name="SlicerCache_Table_1_Col_9">#N/A</definedName>
    <definedName name="SlicerCache_Table_1_Col_15">#N/A</definedName>
  </definedNames>
  <calcPr/>
  <customWorkbookViews>
    <customWorkbookView activeSheetId="0" maximized="1" windowHeight="0" windowWidth="0" guid="{3B717D27-9F4F-4753-8CC6-37024164C384}" name="Filter 1"/>
  </customWorkbookViews>
  <pivotCaches>
    <pivotCache cacheId="0" r:id="rId13"/>
    <pivotCache cacheId="1" r:id="rId14"/>
  </pivotCaches>
  <extLst>
    <ext uri="{46BE6895-7355-4a93-B00E-2C351335B9C9}">
      <x15:slicerCaches>
        <x14:slicerCache r:id="rId15"/>
        <x14:slicerCache r:id="rId16"/>
        <x14:slicerCache r:id="rId17"/>
        <x14:slicerCache r:id="rId18"/>
      </x15:slicerCaches>
    </ext>
  </extLst>
</workbook>
</file>

<file path=xl/sharedStrings.xml><?xml version="1.0" encoding="utf-8"?>
<sst xmlns="http://schemas.openxmlformats.org/spreadsheetml/2006/main" count="4074" uniqueCount="145">
  <si>
    <t>Employee_ID</t>
  </si>
  <si>
    <t>Name</t>
  </si>
  <si>
    <t>Age</t>
  </si>
  <si>
    <t>Gender</t>
  </si>
  <si>
    <t>Department</t>
  </si>
  <si>
    <t>Job_Role</t>
  </si>
  <si>
    <t>Experience_Years</t>
  </si>
  <si>
    <t>Salary</t>
  </si>
  <si>
    <t>Location</t>
  </si>
  <si>
    <t>Education</t>
  </si>
  <si>
    <t>Attrition</t>
  </si>
  <si>
    <t>Performance_Rating</t>
  </si>
  <si>
    <t>Joining_Date</t>
  </si>
  <si>
    <t>Month</t>
  </si>
  <si>
    <t>Year</t>
  </si>
  <si>
    <t>Shaurya Patel</t>
  </si>
  <si>
    <t>Female</t>
  </si>
  <si>
    <t>Marketing</t>
  </si>
  <si>
    <t>Manager</t>
  </si>
  <si>
    <t>Bangalore</t>
  </si>
  <si>
    <t>Post Graduate</t>
  </si>
  <si>
    <t>Yes</t>
  </si>
  <si>
    <t>Sai Sharma</t>
  </si>
  <si>
    <t>Male</t>
  </si>
  <si>
    <t>Associate</t>
  </si>
  <si>
    <t>Hyderabad</t>
  </si>
  <si>
    <t>No</t>
  </si>
  <si>
    <t>Reyansh Sharma</t>
  </si>
  <si>
    <t>IT</t>
  </si>
  <si>
    <t>Diploma</t>
  </si>
  <si>
    <t>Pari Patel</t>
  </si>
  <si>
    <t>Operations</t>
  </si>
  <si>
    <t>Analyst</t>
  </si>
  <si>
    <t>Pune</t>
  </si>
  <si>
    <t>Graduate</t>
  </si>
  <si>
    <t>Aarav Singh</t>
  </si>
  <si>
    <t>Finance</t>
  </si>
  <si>
    <t>Team Lead</t>
  </si>
  <si>
    <t>Chennai</t>
  </si>
  <si>
    <t>HR</t>
  </si>
  <si>
    <t>Arjun Singh</t>
  </si>
  <si>
    <t>Saanvi Singh</t>
  </si>
  <si>
    <t>Sales</t>
  </si>
  <si>
    <t>Mumbai</t>
  </si>
  <si>
    <t>Anika Nair</t>
  </si>
  <si>
    <t>Saanvi Patel</t>
  </si>
  <si>
    <t>Diya Patel</t>
  </si>
  <si>
    <t>Ira Sharma</t>
  </si>
  <si>
    <t>Sara Sharma</t>
  </si>
  <si>
    <t>Executive</t>
  </si>
  <si>
    <t>Pari Sharma</t>
  </si>
  <si>
    <t>Delhi</t>
  </si>
  <si>
    <t>Ananya Nair</t>
  </si>
  <si>
    <t>Pari Nair</t>
  </si>
  <si>
    <t>Myra Patel</t>
  </si>
  <si>
    <t>Sai Khan</t>
  </si>
  <si>
    <t>Sara Khan</t>
  </si>
  <si>
    <t>Vivaan Sharma</t>
  </si>
  <si>
    <t>Saanvi Nair</t>
  </si>
  <si>
    <t>Navya Patel</t>
  </si>
  <si>
    <t>Reyansh Patel</t>
  </si>
  <si>
    <t>Vihaan Khan</t>
  </si>
  <si>
    <t>Myra Sharma</t>
  </si>
  <si>
    <t>Aarav Sharma</t>
  </si>
  <si>
    <t>Diya Khan</t>
  </si>
  <si>
    <t>Sai Nair</t>
  </si>
  <si>
    <t>Shaurya Nair</t>
  </si>
  <si>
    <t>Aadhya Nair</t>
  </si>
  <si>
    <t>Ira Khan</t>
  </si>
  <si>
    <t>Vihaan Sharma</t>
  </si>
  <si>
    <t>Aditya Patel</t>
  </si>
  <si>
    <t>Aadhya Patel</t>
  </si>
  <si>
    <t>Ira Nair</t>
  </si>
  <si>
    <t>Vivaan Patel</t>
  </si>
  <si>
    <t>Krishna Singh</t>
  </si>
  <si>
    <t>Krishna Khan</t>
  </si>
  <si>
    <t>Shaurya Sharma</t>
  </si>
  <si>
    <t>Vihaan Singh</t>
  </si>
  <si>
    <t>Ira Singh</t>
  </si>
  <si>
    <t>Aarav Khan</t>
  </si>
  <si>
    <t>Shaurya Singh</t>
  </si>
  <si>
    <t>Aadhya Singh</t>
  </si>
  <si>
    <t>Arjun Patel</t>
  </si>
  <si>
    <t>Vivaan Nair</t>
  </si>
  <si>
    <t>Ishaan Khan</t>
  </si>
  <si>
    <t>Saanvi Khan</t>
  </si>
  <si>
    <t>Anika Khan</t>
  </si>
  <si>
    <t>Shaurya Khan</t>
  </si>
  <si>
    <t>Ananya Patel</t>
  </si>
  <si>
    <t>Krishna Nair</t>
  </si>
  <si>
    <t>Arjun Nair</t>
  </si>
  <si>
    <t>Ishaan Singh</t>
  </si>
  <si>
    <t>Vivaan Singh</t>
  </si>
  <si>
    <t>Pari Khan</t>
  </si>
  <si>
    <t>Krishna Patel</t>
  </si>
  <si>
    <t>Reyansh Nair</t>
  </si>
  <si>
    <t>Diya Nair</t>
  </si>
  <si>
    <t>Ishaan Patel</t>
  </si>
  <si>
    <t>Aditya Singh</t>
  </si>
  <si>
    <t>Sai Patel</t>
  </si>
  <si>
    <t>Diya Sharma</t>
  </si>
  <si>
    <t>Reyansh Khan</t>
  </si>
  <si>
    <t>Vihaan Nair</t>
  </si>
  <si>
    <t>Reyansh Singh</t>
  </si>
  <si>
    <t>Ananya Singh</t>
  </si>
  <si>
    <t>Sara Nair</t>
  </si>
  <si>
    <t>Aditya Sharma</t>
  </si>
  <si>
    <t>Sai Singh</t>
  </si>
  <si>
    <t>Myra Nair</t>
  </si>
  <si>
    <t>Pari Singh</t>
  </si>
  <si>
    <t>Vihaan Patel</t>
  </si>
  <si>
    <t>Myra Khan</t>
  </si>
  <si>
    <t>Diya Singh</t>
  </si>
  <si>
    <t>Aditya Khan</t>
  </si>
  <si>
    <t>Ananya Khan</t>
  </si>
  <si>
    <t>Sara Patel</t>
  </si>
  <si>
    <t>Aditya Nair</t>
  </si>
  <si>
    <t>Saanvi Sharma</t>
  </si>
  <si>
    <t>Myra Singh</t>
  </si>
  <si>
    <t>Arjun Khan</t>
  </si>
  <si>
    <t>Ishaan Nair</t>
  </si>
  <si>
    <t>Navya Sharma</t>
  </si>
  <si>
    <t>Navya Singh</t>
  </si>
  <si>
    <t>Vivaan Khan</t>
  </si>
  <si>
    <t>Navya Khan</t>
  </si>
  <si>
    <t>Krishna Sharma</t>
  </si>
  <si>
    <t>Aarav Patel</t>
  </si>
  <si>
    <t>Sara Singh</t>
  </si>
  <si>
    <t>Anika Patel</t>
  </si>
  <si>
    <t>Ira Patel</t>
  </si>
  <si>
    <t>Arjun Sharma</t>
  </si>
  <si>
    <t>Aadhya Sharma</t>
  </si>
  <si>
    <t>Aarav Nair</t>
  </si>
  <si>
    <t>Ishaan Sharma</t>
  </si>
  <si>
    <t>Ananya Sharma</t>
  </si>
  <si>
    <t>Aadhya Khan</t>
  </si>
  <si>
    <t>Navya Nair</t>
  </si>
  <si>
    <t>Anika Singh</t>
  </si>
  <si>
    <t>Anika Sharma</t>
  </si>
  <si>
    <t>COUNT of Employee_ID</t>
  </si>
  <si>
    <t>COUNTA of Name</t>
  </si>
  <si>
    <t>Grand Total</t>
  </si>
  <si>
    <t>COUNTA of Employee_ID</t>
  </si>
  <si>
    <t>AVERAGE of Salary</t>
  </si>
  <si>
    <t>HR Analytics Dashboard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</si>
</sst>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5">
    <font>
      <sz val="10.0"/>
      <color rgb="FF000000"/>
      <name val="Arial"/>
      <scheme val="minor"/>
    </font>
    <font>
      <color theme="1"/>
      <name val="Arial"/>
      <scheme val="minor"/>
    </font>
    <font>
      <color theme="1"/>
      <name val="Arial"/>
    </font>
    <font>
      <b/>
      <sz val="20.0"/>
      <color rgb="FFFFFFFF"/>
      <name val="Times New Roman"/>
    </font>
    <font>
      <color rgb="FFC9DAF8"/>
      <name val="Arial"/>
      <scheme val="minor"/>
    </font>
  </fonts>
  <fills count="4">
    <fill>
      <patternFill patternType="none"/>
    </fill>
    <fill>
      <patternFill patternType="lightGray"/>
    </fill>
    <fill>
      <patternFill patternType="solid">
        <fgColor rgb="FF1155CC"/>
        <bgColor rgb="FF1155CC"/>
      </patternFill>
    </fill>
    <fill>
      <patternFill patternType="solid">
        <fgColor rgb="FFA4C2F4"/>
        <bgColor rgb="FFA4C2F4"/>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2" numFmtId="164" xfId="0" applyAlignment="1" applyFont="1" applyNumberFormat="1">
      <alignment horizontal="right" vertical="bottom"/>
    </xf>
    <xf borderId="0" fillId="0" fontId="1" numFmtId="0" xfId="0" applyFont="1"/>
    <xf borderId="0" fillId="0" fontId="2" numFmtId="0" xfId="0" applyAlignment="1" applyFont="1">
      <alignment vertical="bottom"/>
    </xf>
    <xf borderId="0" fillId="0" fontId="2" numFmtId="0" xfId="0" applyAlignment="1" applyFont="1">
      <alignment horizontal="right" vertical="bottom"/>
    </xf>
    <xf borderId="0" fillId="0" fontId="1" numFmtId="10" xfId="0" applyFont="1" applyNumberFormat="1"/>
    <xf borderId="0" fillId="2" fontId="3" numFmtId="0" xfId="0" applyAlignment="1" applyFill="1" applyFont="1">
      <alignment horizontal="center" readingOrder="0"/>
    </xf>
    <xf borderId="0" fillId="3" fontId="4" numFmtId="0" xfId="0" applyFill="1" applyFont="1"/>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pivotCacheDefinition" Target="pivotCache/pivotCacheDefinition1.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microsoft.com/office/2007/relationships/slicerCache" Target="slicerCaches/slicerCache1.xml"/><Relationship Id="rId14" Type="http://schemas.openxmlformats.org/officeDocument/2006/relationships/pivotCacheDefinition" Target="pivotCache/pivotCacheDefinition2.xml"/><Relationship Id="rId17" Type="http://schemas.microsoft.com/office/2007/relationships/slicerCache" Target="slicerCaches/slicerCache3.xml"/><Relationship Id="rId16" Type="http://schemas.microsoft.com/office/2007/relationships/slicerCache" Target="slicerCaches/slicerCache2.xml"/><Relationship Id="rId5" Type="http://schemas.openxmlformats.org/officeDocument/2006/relationships/worksheet" Target="worksheets/sheet1.xml"/><Relationship Id="rId6" Type="http://schemas.openxmlformats.org/officeDocument/2006/relationships/worksheet" Target="worksheets/sheet2.xml"/><Relationship Id="rId18" Type="http://schemas.microsoft.com/office/2007/relationships/slicerCache" Target="slicerCaches/slicerCache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spPr>
            <a:solidFill>
              <a:schemeClr val="accent1"/>
            </a:solidFill>
            <a:ln cmpd="sng">
              <a:solidFill>
                <a:srgbClr val="000000"/>
              </a:solidFill>
            </a:ln>
          </c:spPr>
          <c:cat>
            <c:strRef>
              <c:f>'Top 5 Emp'!$E$4:$E$8</c:f>
            </c:strRef>
          </c:cat>
          <c:val>
            <c:numRef>
              <c:f>'Top 5 Emp'!$F$4:$F$8</c:f>
              <c:numCache/>
            </c:numRef>
          </c:val>
        </c:ser>
        <c:axId val="2023362698"/>
        <c:axId val="592554873"/>
      </c:barChart>
      <c:catAx>
        <c:axId val="2023362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2554873"/>
      </c:catAx>
      <c:valAx>
        <c:axId val="5925548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336269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'COUNT of Employee_ID'!$B$1:$B$2</c:f>
            </c:strRef>
          </c:tx>
          <c:spPr>
            <a:solidFill>
              <a:schemeClr val="accent1"/>
            </a:solidFill>
            <a:ln cmpd="sng">
              <a:solidFill>
                <a:srgbClr val="000000"/>
              </a:solidFill>
            </a:ln>
          </c:spPr>
          <c:cat>
            <c:strRef>
              <c:f>'COUNT of Employee_ID'!$A$3:$A$9</c:f>
            </c:strRef>
          </c:cat>
          <c:val>
            <c:numRef>
              <c:f>'COUNT of Employee_ID'!$B$3:$B$9</c:f>
              <c:numCache/>
            </c:numRef>
          </c:val>
        </c:ser>
        <c:ser>
          <c:idx val="1"/>
          <c:order val="1"/>
          <c:tx>
            <c:strRef>
              <c:f>'COUNT of Employee_ID'!$C$1:$C$2</c:f>
            </c:strRef>
          </c:tx>
          <c:spPr>
            <a:solidFill>
              <a:schemeClr val="accent2"/>
            </a:solidFill>
            <a:ln cmpd="sng">
              <a:solidFill>
                <a:srgbClr val="000000"/>
              </a:solidFill>
            </a:ln>
          </c:spPr>
          <c:cat>
            <c:strRef>
              <c:f>'COUNT of Employee_ID'!$A$3:$A$9</c:f>
            </c:strRef>
          </c:cat>
          <c:val>
            <c:numRef>
              <c:f>'COUNT of Employee_ID'!$C$3:$C$9</c:f>
              <c:numCache/>
            </c:numRef>
          </c:val>
        </c:ser>
        <c:ser>
          <c:idx val="2"/>
          <c:order val="2"/>
          <c:tx>
            <c:strRef>
              <c:f>'COUNT of Employee_ID'!$D$1:$D$2</c:f>
            </c:strRef>
          </c:tx>
          <c:cat>
            <c:strRef>
              <c:f>'COUNT of Employee_ID'!$A$3:$A$9</c:f>
            </c:strRef>
          </c:cat>
          <c:val>
            <c:numRef>
              <c:f>'COUNT of Employee_ID'!$D$3:$D$9</c:f>
              <c:numCache/>
            </c:numRef>
          </c:val>
        </c:ser>
        <c:overlap val="100"/>
        <c:axId val="1339134957"/>
        <c:axId val="1912159287"/>
      </c:barChart>
      <c:catAx>
        <c:axId val="13391349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2159287"/>
      </c:catAx>
      <c:valAx>
        <c:axId val="19121592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91349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COUNTA of Name vs Location</a:t>
            </a:r>
          </a:p>
        </c:rich>
      </c:tx>
      <c:overlay val="0"/>
    </c:title>
    <c:plotArea>
      <c:layout/>
      <c:barChart>
        <c:barDir val="col"/>
        <c:ser>
          <c:idx val="0"/>
          <c:order val="0"/>
          <c:tx>
            <c:strRef>
              <c:f>'COUNTA of Name vs Location'!$B$1</c:f>
            </c:strRef>
          </c:tx>
          <c:spPr>
            <a:solidFill>
              <a:schemeClr val="accent1"/>
            </a:solidFill>
            <a:ln cmpd="sng">
              <a:solidFill>
                <a:srgbClr val="000000"/>
              </a:solidFill>
            </a:ln>
          </c:spPr>
          <c:cat>
            <c:strRef>
              <c:f>'COUNTA of Name vs Location'!$A$2:$A$7</c:f>
            </c:strRef>
          </c:cat>
          <c:val>
            <c:numRef>
              <c:f>'COUNTA of Name vs Location'!$B$2:$B$7</c:f>
              <c:numCache/>
            </c:numRef>
          </c:val>
        </c:ser>
        <c:axId val="1618350362"/>
        <c:axId val="1704198028"/>
      </c:barChart>
      <c:catAx>
        <c:axId val="1618350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Location</a:t>
                </a:r>
              </a:p>
            </c:rich>
          </c:tx>
          <c:overlay val="0"/>
        </c:title>
        <c:numFmt formatCode="General" sourceLinked="1"/>
        <c:majorTickMark val="none"/>
        <c:minorTickMark val="none"/>
        <c:spPr/>
        <c:txPr>
          <a:bodyPr/>
          <a:lstStyle/>
          <a:p>
            <a:pPr lvl="0">
              <a:defRPr b="0">
                <a:solidFill>
                  <a:srgbClr val="000000"/>
                </a:solidFill>
                <a:latin typeface="+mn-lt"/>
              </a:defRPr>
            </a:pPr>
          </a:p>
        </c:txPr>
        <c:crossAx val="1704198028"/>
      </c:catAx>
      <c:valAx>
        <c:axId val="17041980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COUNTA of Name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835036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Finance, HR, IT, Marketing, Operations…</a:t>
            </a:r>
          </a:p>
        </c:rich>
      </c:tx>
      <c:overlay val="0"/>
    </c:title>
    <c:plotArea>
      <c:layout/>
      <c:lineChart>
        <c:ser>
          <c:idx val="0"/>
          <c:order val="0"/>
          <c:tx>
            <c:strRef>
              <c:f>'Year Hiring Trend'!$B$1:$B$2</c:f>
            </c:strRef>
          </c:tx>
          <c:spPr>
            <a:ln cmpd="sng">
              <a:solidFill>
                <a:srgbClr val="4285F4"/>
              </a:solidFill>
            </a:ln>
          </c:spPr>
          <c:marker>
            <c:symbol val="none"/>
          </c:marker>
          <c:cat>
            <c:strRef>
              <c:f>'Year Hiring Trend'!$A$3:$A$18</c:f>
            </c:strRef>
          </c:cat>
          <c:val>
            <c:numRef>
              <c:f>'Year Hiring Trend'!$B$3:$B$18</c:f>
              <c:numCache/>
            </c:numRef>
          </c:val>
          <c:smooth val="0"/>
        </c:ser>
        <c:ser>
          <c:idx val="1"/>
          <c:order val="1"/>
          <c:tx>
            <c:strRef>
              <c:f>'Year Hiring Trend'!$C$1:$C$2</c:f>
            </c:strRef>
          </c:tx>
          <c:spPr>
            <a:ln cmpd="sng">
              <a:solidFill>
                <a:srgbClr val="EA4335"/>
              </a:solidFill>
            </a:ln>
          </c:spPr>
          <c:marker>
            <c:symbol val="none"/>
          </c:marker>
          <c:cat>
            <c:strRef>
              <c:f>'Year Hiring Trend'!$A$3:$A$18</c:f>
            </c:strRef>
          </c:cat>
          <c:val>
            <c:numRef>
              <c:f>'Year Hiring Trend'!$C$3:$C$18</c:f>
              <c:numCache/>
            </c:numRef>
          </c:val>
          <c:smooth val="0"/>
        </c:ser>
        <c:ser>
          <c:idx val="2"/>
          <c:order val="2"/>
          <c:tx>
            <c:strRef>
              <c:f>'Year Hiring Trend'!$D$1:$D$2</c:f>
            </c:strRef>
          </c:tx>
          <c:spPr>
            <a:ln cmpd="sng">
              <a:solidFill>
                <a:srgbClr val="FBBC04"/>
              </a:solidFill>
            </a:ln>
          </c:spPr>
          <c:marker>
            <c:symbol val="none"/>
          </c:marker>
          <c:cat>
            <c:strRef>
              <c:f>'Year Hiring Trend'!$A$3:$A$18</c:f>
            </c:strRef>
          </c:cat>
          <c:val>
            <c:numRef>
              <c:f>'Year Hiring Trend'!$D$3:$D$18</c:f>
              <c:numCache/>
            </c:numRef>
          </c:val>
          <c:smooth val="0"/>
        </c:ser>
        <c:ser>
          <c:idx val="3"/>
          <c:order val="3"/>
          <c:tx>
            <c:strRef>
              <c:f>'Year Hiring Trend'!$E$1:$E$2</c:f>
            </c:strRef>
          </c:tx>
          <c:spPr>
            <a:ln cmpd="sng">
              <a:solidFill>
                <a:srgbClr val="34A853"/>
              </a:solidFill>
            </a:ln>
          </c:spPr>
          <c:marker>
            <c:symbol val="none"/>
          </c:marker>
          <c:cat>
            <c:strRef>
              <c:f>'Year Hiring Trend'!$A$3:$A$18</c:f>
            </c:strRef>
          </c:cat>
          <c:val>
            <c:numRef>
              <c:f>'Year Hiring Trend'!$E$3:$E$18</c:f>
              <c:numCache/>
            </c:numRef>
          </c:val>
          <c:smooth val="0"/>
        </c:ser>
        <c:ser>
          <c:idx val="4"/>
          <c:order val="4"/>
          <c:tx>
            <c:strRef>
              <c:f>'Year Hiring Trend'!$F$1:$F$2</c:f>
            </c:strRef>
          </c:tx>
          <c:spPr>
            <a:ln cmpd="sng">
              <a:solidFill>
                <a:srgbClr val="FF6D01"/>
              </a:solidFill>
            </a:ln>
          </c:spPr>
          <c:marker>
            <c:symbol val="none"/>
          </c:marker>
          <c:cat>
            <c:strRef>
              <c:f>'Year Hiring Trend'!$A$3:$A$18</c:f>
            </c:strRef>
          </c:cat>
          <c:val>
            <c:numRef>
              <c:f>'Year Hiring Trend'!$F$3:$F$18</c:f>
              <c:numCache/>
            </c:numRef>
          </c:val>
          <c:smooth val="0"/>
        </c:ser>
        <c:ser>
          <c:idx val="5"/>
          <c:order val="5"/>
          <c:tx>
            <c:strRef>
              <c:f>'Year Hiring Trend'!$G$1:$G$2</c:f>
            </c:strRef>
          </c:tx>
          <c:spPr>
            <a:ln cmpd="sng">
              <a:solidFill>
                <a:srgbClr val="46BDC6"/>
              </a:solidFill>
            </a:ln>
          </c:spPr>
          <c:marker>
            <c:symbol val="none"/>
          </c:marker>
          <c:cat>
            <c:strRef>
              <c:f>'Year Hiring Trend'!$A$3:$A$18</c:f>
            </c:strRef>
          </c:cat>
          <c:val>
            <c:numRef>
              <c:f>'Year Hiring Trend'!$G$3:$G$18</c:f>
              <c:numCache/>
            </c:numRef>
          </c:val>
          <c:smooth val="0"/>
        </c:ser>
        <c:axId val="2117434316"/>
        <c:axId val="365666539"/>
      </c:lineChart>
      <c:catAx>
        <c:axId val="21174343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c:txPr>
          <a:bodyPr/>
          <a:lstStyle/>
          <a:p>
            <a:pPr lvl="0">
              <a:defRPr b="0">
                <a:solidFill>
                  <a:srgbClr val="000000"/>
                </a:solidFill>
                <a:latin typeface="+mn-lt"/>
              </a:defRPr>
            </a:pPr>
          </a:p>
        </c:txPr>
        <c:crossAx val="365666539"/>
      </c:catAx>
      <c:valAx>
        <c:axId val="3656665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7434316"/>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AVERAGE of Salary of Job_Role</a:t>
            </a:r>
          </a:p>
        </c:rich>
      </c:tx>
      <c:overlay val="0"/>
    </c:title>
    <c:plotArea>
      <c:layout/>
      <c:barChart>
        <c:barDir val="col"/>
        <c:grouping val="stacked"/>
        <c:ser>
          <c:idx val="0"/>
          <c:order val="0"/>
          <c:tx>
            <c:strRef>
              <c:f>'Pivot Table 5'!$B$1</c:f>
            </c:strRef>
          </c:tx>
          <c:spPr>
            <a:solidFill>
              <a:schemeClr val="accent1"/>
            </a:solidFill>
            <a:ln cmpd="sng">
              <a:solidFill>
                <a:srgbClr val="000000"/>
              </a:solidFill>
            </a:ln>
          </c:spPr>
          <c:dPt>
            <c:idx val="0"/>
          </c:dPt>
          <c:dLbls>
            <c:numFmt formatCode="General" sourceLinked="1"/>
            <c:txPr>
              <a:bodyPr/>
              <a:lstStyle/>
              <a:p>
                <a:pPr lvl="0">
                  <a:defRPr b="1">
                    <a:solidFill>
                      <a:srgbClr val="000000"/>
                    </a:solidFill>
                  </a:defRPr>
                </a:pPr>
              </a:p>
            </c:txPr>
            <c:showLegendKey val="0"/>
            <c:showVal val="1"/>
            <c:showCatName val="0"/>
            <c:showSerName val="0"/>
            <c:showPercent val="0"/>
            <c:showBubbleSize val="0"/>
          </c:dLbls>
          <c:cat>
            <c:strRef>
              <c:f>'Pivot Table 5'!$A$2:$A$7</c:f>
            </c:strRef>
          </c:cat>
          <c:val>
            <c:numRef>
              <c:f>'Pivot Table 5'!$B$2:$B$7</c:f>
              <c:numCache/>
            </c:numRef>
          </c:val>
        </c:ser>
        <c:overlap val="100"/>
        <c:axId val="76351416"/>
        <c:axId val="1319565570"/>
      </c:barChart>
      <c:catAx>
        <c:axId val="763514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Job_Role</a:t>
                </a:r>
              </a:p>
            </c:rich>
          </c:tx>
          <c:overlay val="0"/>
        </c:title>
        <c:numFmt formatCode="General" sourceLinked="1"/>
        <c:majorTickMark val="none"/>
        <c:minorTickMark val="none"/>
        <c:spPr/>
        <c:txPr>
          <a:bodyPr/>
          <a:lstStyle/>
          <a:p>
            <a:pPr lvl="0">
              <a:defRPr b="1">
                <a:solidFill>
                  <a:srgbClr val="000000"/>
                </a:solidFill>
                <a:latin typeface="+mn-lt"/>
              </a:defRPr>
            </a:pPr>
          </a:p>
        </c:txPr>
        <c:crossAx val="1319565570"/>
      </c:catAx>
      <c:valAx>
        <c:axId val="13195655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of Salary</a:t>
                </a:r>
              </a:p>
            </c:rich>
          </c:tx>
          <c:overlay val="0"/>
        </c:title>
        <c:numFmt formatCode="General" sourceLinked="1"/>
        <c:majorTickMark val="none"/>
        <c:minorTickMark val="none"/>
        <c:tickLblPos val="nextTo"/>
        <c:spPr>
          <a:ln/>
        </c:spPr>
        <c:txPr>
          <a:bodyPr/>
          <a:lstStyle/>
          <a:p>
            <a:pPr lvl="0">
              <a:defRPr b="1">
                <a:solidFill>
                  <a:srgbClr val="000000"/>
                </a:solidFill>
                <a:latin typeface="+mn-lt"/>
              </a:defRPr>
            </a:pPr>
          </a:p>
        </c:txPr>
        <c:crossAx val="76351416"/>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Salary vs Experience_Years</a:t>
            </a:r>
          </a:p>
        </c:rich>
      </c:tx>
      <c:overlay val="0"/>
    </c:title>
    <c:plotArea>
      <c:layout/>
      <c:scatterChart>
        <c:scatterStyle val="lineMarker"/>
        <c:varyColors val="0"/>
        <c:ser>
          <c:idx val="0"/>
          <c:order val="0"/>
          <c:tx>
            <c:strRef>
              <c:f>hr_analytics_500_rows!$H$1</c:f>
            </c:strRef>
          </c:tx>
          <c:spPr>
            <a:ln>
              <a:noFill/>
            </a:ln>
          </c:spPr>
          <c:marker>
            <c:symbol val="circle"/>
            <c:size val="7"/>
            <c:spPr>
              <a:solidFill>
                <a:schemeClr val="accent1"/>
              </a:solidFill>
              <a:ln cmpd="sng">
                <a:solidFill>
                  <a:schemeClr val="accent1"/>
                </a:solidFill>
              </a:ln>
            </c:spPr>
          </c:marker>
          <c:xVal>
            <c:numRef>
              <c:f>hr_analytics_500_rows!$G$2:$G$1000</c:f>
            </c:numRef>
          </c:xVal>
          <c:yVal>
            <c:numRef>
              <c:f>hr_analytics_500_rows!$H$2:$H$1000</c:f>
              <c:numCache/>
            </c:numRef>
          </c:yVal>
        </c:ser>
        <c:dLbls>
          <c:showLegendKey val="0"/>
          <c:showVal val="0"/>
          <c:showCatName val="0"/>
          <c:showSerName val="0"/>
          <c:showPercent val="0"/>
          <c:showBubbleSize val="0"/>
        </c:dLbls>
        <c:axId val="501657058"/>
        <c:axId val="1553279597"/>
      </c:scatterChart>
      <c:valAx>
        <c:axId val="501657058"/>
        <c:scaling>
          <c:orientation val="minMax"/>
        </c:scaling>
        <c:delete val="0"/>
        <c:axPos val="b"/>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Experience_Years</a:t>
                </a:r>
              </a:p>
            </c:rich>
          </c:tx>
          <c:overlay val="0"/>
        </c:title>
        <c:numFmt formatCode="General" sourceLinked="1"/>
        <c:majorTickMark val="none"/>
        <c:minorTickMark val="none"/>
        <c:tickLblPos val="nextTo"/>
        <c:spPr>
          <a:ln/>
        </c:spPr>
        <c:txPr>
          <a:bodyPr/>
          <a:lstStyle/>
          <a:p>
            <a:pPr lvl="0">
              <a:defRPr b="1">
                <a:solidFill>
                  <a:srgbClr val="000000"/>
                </a:solidFill>
                <a:latin typeface="+mn-lt"/>
              </a:defRPr>
            </a:pPr>
          </a:p>
        </c:txPr>
        <c:crossAx val="1553279597"/>
      </c:valAx>
      <c:valAx>
        <c:axId val="15532795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Salary</a:t>
                </a:r>
              </a:p>
            </c:rich>
          </c:tx>
          <c:overlay val="0"/>
        </c:title>
        <c:numFmt formatCode="General" sourceLinked="1"/>
        <c:majorTickMark val="none"/>
        <c:minorTickMark val="none"/>
        <c:tickLblPos val="nextTo"/>
        <c:spPr>
          <a:ln/>
        </c:spPr>
        <c:txPr>
          <a:bodyPr/>
          <a:lstStyle/>
          <a:p>
            <a:pPr lvl="0">
              <a:defRPr b="1">
                <a:solidFill>
                  <a:srgbClr val="000000"/>
                </a:solidFill>
                <a:latin typeface="+mn-lt"/>
              </a:defRPr>
            </a:pPr>
          </a:p>
        </c:txPr>
        <c:crossAx val="501657058"/>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Department-wise Attrition Rate </a:t>
            </a:r>
          </a:p>
        </c:rich>
      </c:tx>
      <c:overlay val="0"/>
    </c:title>
    <c:plotArea>
      <c:layout/>
      <c:barChart>
        <c:barDir val="col"/>
        <c:grouping val="stacked"/>
        <c:ser>
          <c:idx val="0"/>
          <c:order val="0"/>
          <c:tx>
            <c:strRef>
              <c:f>'COUNT of Employee_ID'!$B$1:$B$2</c:f>
            </c:strRef>
          </c:tx>
          <c:spPr>
            <a:solidFill>
              <a:schemeClr val="accent1"/>
            </a:solidFill>
            <a:ln cmpd="sng">
              <a:solidFill>
                <a:srgbClr val="000000"/>
              </a:solidFill>
            </a:ln>
          </c:spPr>
          <c:dLbls>
            <c:numFmt formatCode="General" sourceLinked="1"/>
            <c:txPr>
              <a:bodyPr/>
              <a:lstStyle/>
              <a:p>
                <a:pPr lvl="0">
                  <a:defRPr>
                    <a:solidFill>
                      <a:srgbClr val="000000"/>
                    </a:solidFill>
                  </a:defRPr>
                </a:pPr>
              </a:p>
            </c:txPr>
            <c:showLegendKey val="0"/>
            <c:showVal val="1"/>
            <c:showCatName val="0"/>
            <c:showSerName val="0"/>
            <c:showPercent val="0"/>
            <c:showBubbleSize val="0"/>
          </c:dLbls>
          <c:cat>
            <c:strRef>
              <c:f>'COUNT of Employee_ID'!$A$3:$A$9</c:f>
            </c:strRef>
          </c:cat>
          <c:val>
            <c:numRef>
              <c:f>'COUNT of Employee_ID'!$B$3:$B$9</c:f>
              <c:numCache/>
            </c:numRef>
          </c:val>
        </c:ser>
        <c:ser>
          <c:idx val="1"/>
          <c:order val="1"/>
          <c:tx>
            <c:strRef>
              <c:f>'COUNT of Employee_ID'!$C$1:$C$2</c:f>
            </c:strRef>
          </c:tx>
          <c:spPr>
            <a:solidFill>
              <a:schemeClr val="accent2"/>
            </a:solidFill>
            <a:ln cmpd="sng">
              <a:solidFill>
                <a:srgbClr val="000000"/>
              </a:solidFill>
            </a:ln>
          </c:spPr>
          <c:dLbls>
            <c:numFmt formatCode="General" sourceLinked="1"/>
            <c:txPr>
              <a:bodyPr/>
              <a:lstStyle/>
              <a:p>
                <a:pPr lvl="0">
                  <a:defRPr>
                    <a:solidFill>
                      <a:srgbClr val="000000"/>
                    </a:solidFill>
                  </a:defRPr>
                </a:pPr>
              </a:p>
            </c:txPr>
            <c:showLegendKey val="0"/>
            <c:showVal val="1"/>
            <c:showCatName val="0"/>
            <c:showSerName val="0"/>
            <c:showPercent val="0"/>
            <c:showBubbleSize val="0"/>
          </c:dLbls>
          <c:cat>
            <c:strRef>
              <c:f>'COUNT of Employee_ID'!$A$3:$A$9</c:f>
            </c:strRef>
          </c:cat>
          <c:val>
            <c:numRef>
              <c:f>'COUNT of Employee_ID'!$C$3:$C$9</c:f>
              <c:numCache/>
            </c:numRef>
          </c:val>
        </c:ser>
        <c:ser>
          <c:idx val="2"/>
          <c:order val="2"/>
          <c:tx>
            <c:strRef>
              <c:f>'COUNT of Employee_ID'!$D$1:$D$2</c:f>
            </c:strRef>
          </c:tx>
          <c:cat>
            <c:strRef>
              <c:f>'COUNT of Employee_ID'!$A$3:$A$9</c:f>
            </c:strRef>
          </c:cat>
          <c:val>
            <c:numRef>
              <c:f>'COUNT of Employee_ID'!$D$3:$D$9</c:f>
              <c:numCache/>
            </c:numRef>
          </c:val>
        </c:ser>
        <c:overlap val="100"/>
        <c:axId val="674327505"/>
        <c:axId val="1140328598"/>
      </c:barChart>
      <c:catAx>
        <c:axId val="674327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1">
                <a:solidFill>
                  <a:srgbClr val="000000"/>
                </a:solidFill>
                <a:latin typeface="+mn-lt"/>
              </a:defRPr>
            </a:pPr>
          </a:p>
        </c:txPr>
        <c:crossAx val="1140328598"/>
      </c:catAx>
      <c:valAx>
        <c:axId val="1140328598"/>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1" sz="1000">
                <a:solidFill>
                  <a:srgbClr val="000000"/>
                </a:solidFill>
                <a:latin typeface="+mn-lt"/>
              </a:defRPr>
            </a:pPr>
          </a:p>
        </c:txPr>
        <c:crossAx val="674327505"/>
      </c:valAx>
    </c:plotArea>
    <c:legend>
      <c:legendPos val="r"/>
      <c:overlay val="0"/>
      <c:txPr>
        <a:bodyPr/>
        <a:lstStyle/>
        <a:p>
          <a:pPr lvl="0">
            <a:defRPr b="1">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Location-wise Employees</a:t>
            </a:r>
          </a:p>
        </c:rich>
      </c:tx>
      <c:overlay val="0"/>
    </c:title>
    <c:plotArea>
      <c:layout/>
      <c:barChart>
        <c:barDir val="col"/>
        <c:ser>
          <c:idx val="0"/>
          <c:order val="0"/>
          <c:tx>
            <c:strRef>
              <c:f>'COUNTA of Name vs Location'!$B$1</c:f>
            </c:strRef>
          </c:tx>
          <c:spPr>
            <a:solidFill>
              <a:schemeClr val="accent1"/>
            </a:solidFill>
            <a:ln cmpd="sng">
              <a:solidFill>
                <a:srgbClr val="000000"/>
              </a:solidFill>
            </a:ln>
          </c:spPr>
          <c:dLbls>
            <c:numFmt formatCode="General" sourceLinked="1"/>
            <c:txPr>
              <a:bodyPr/>
              <a:lstStyle/>
              <a:p>
                <a:pPr lvl="0">
                  <a:defRPr b="1">
                    <a:solidFill>
                      <a:srgbClr val="000000"/>
                    </a:solidFill>
                  </a:defRPr>
                </a:pPr>
              </a:p>
            </c:txPr>
            <c:showLegendKey val="0"/>
            <c:showVal val="1"/>
            <c:showCatName val="0"/>
            <c:showSerName val="0"/>
            <c:showPercent val="0"/>
            <c:showBubbleSize val="0"/>
          </c:dLbls>
          <c:cat>
            <c:strRef>
              <c:f>'COUNTA of Name vs Location'!$A$2:$A$7</c:f>
            </c:strRef>
          </c:cat>
          <c:val>
            <c:numRef>
              <c:f>'COUNTA of Name vs Location'!$B$2:$B$7</c:f>
              <c:numCache/>
            </c:numRef>
          </c:val>
        </c:ser>
        <c:axId val="1902748393"/>
        <c:axId val="1604575293"/>
      </c:barChart>
      <c:catAx>
        <c:axId val="19027483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Location</a:t>
                </a:r>
              </a:p>
            </c:rich>
          </c:tx>
          <c:overlay val="0"/>
        </c:title>
        <c:numFmt formatCode="General" sourceLinked="1"/>
        <c:majorTickMark val="none"/>
        <c:minorTickMark val="none"/>
        <c:spPr/>
        <c:txPr>
          <a:bodyPr/>
          <a:lstStyle/>
          <a:p>
            <a:pPr lvl="0">
              <a:defRPr b="1">
                <a:solidFill>
                  <a:srgbClr val="000000"/>
                </a:solidFill>
                <a:latin typeface="+mn-lt"/>
              </a:defRPr>
            </a:pPr>
          </a:p>
        </c:txPr>
        <c:crossAx val="1604575293"/>
      </c:catAx>
      <c:valAx>
        <c:axId val="1604575293"/>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COUNT of Name</a:t>
                </a:r>
              </a:p>
            </c:rich>
          </c:tx>
          <c:overlay val="0"/>
        </c:title>
        <c:numFmt formatCode="General" sourceLinked="1"/>
        <c:majorTickMark val="none"/>
        <c:minorTickMark val="none"/>
        <c:tickLblPos val="nextTo"/>
        <c:spPr>
          <a:ln/>
        </c:spPr>
        <c:txPr>
          <a:bodyPr/>
          <a:lstStyle/>
          <a:p>
            <a:pPr lvl="0">
              <a:defRPr b="1">
                <a:solidFill>
                  <a:srgbClr val="000000"/>
                </a:solidFill>
                <a:latin typeface="+mn-lt"/>
              </a:defRPr>
            </a:pPr>
          </a:p>
        </c:txPr>
        <c:crossAx val="1902748393"/>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Finance, HR, IT, Marketing, Operations…</a:t>
            </a:r>
          </a:p>
        </c:rich>
      </c:tx>
      <c:overlay val="0"/>
    </c:title>
    <c:plotArea>
      <c:layout/>
      <c:lineChart>
        <c:ser>
          <c:idx val="0"/>
          <c:order val="0"/>
          <c:tx>
            <c:strRef>
              <c:f>'Year Hiring Trend'!$B$1:$B$2</c:f>
            </c:strRef>
          </c:tx>
          <c:spPr>
            <a:ln cmpd="sng">
              <a:solidFill>
                <a:srgbClr val="4285F4"/>
              </a:solidFill>
            </a:ln>
          </c:spPr>
          <c:marker>
            <c:symbol val="none"/>
          </c:marker>
          <c:cat>
            <c:strRef>
              <c:f>'Year Hiring Trend'!$A$3:$A$18</c:f>
            </c:strRef>
          </c:cat>
          <c:val>
            <c:numRef>
              <c:f>'Year Hiring Trend'!$B$3:$B$18</c:f>
              <c:numCache/>
            </c:numRef>
          </c:val>
          <c:smooth val="0"/>
        </c:ser>
        <c:ser>
          <c:idx val="1"/>
          <c:order val="1"/>
          <c:tx>
            <c:strRef>
              <c:f>'Year Hiring Trend'!$C$1:$C$2</c:f>
            </c:strRef>
          </c:tx>
          <c:spPr>
            <a:ln cmpd="sng">
              <a:solidFill>
                <a:srgbClr val="EA4335"/>
              </a:solidFill>
            </a:ln>
          </c:spPr>
          <c:marker>
            <c:symbol val="none"/>
          </c:marker>
          <c:cat>
            <c:strRef>
              <c:f>'Year Hiring Trend'!$A$3:$A$18</c:f>
            </c:strRef>
          </c:cat>
          <c:val>
            <c:numRef>
              <c:f>'Year Hiring Trend'!$C$3:$C$18</c:f>
              <c:numCache/>
            </c:numRef>
          </c:val>
          <c:smooth val="0"/>
        </c:ser>
        <c:ser>
          <c:idx val="2"/>
          <c:order val="2"/>
          <c:tx>
            <c:strRef>
              <c:f>'Year Hiring Trend'!$D$1:$D$2</c:f>
            </c:strRef>
          </c:tx>
          <c:spPr>
            <a:ln cmpd="sng">
              <a:solidFill>
                <a:srgbClr val="FBBC04"/>
              </a:solidFill>
            </a:ln>
          </c:spPr>
          <c:marker>
            <c:symbol val="none"/>
          </c:marker>
          <c:cat>
            <c:strRef>
              <c:f>'Year Hiring Trend'!$A$3:$A$18</c:f>
            </c:strRef>
          </c:cat>
          <c:val>
            <c:numRef>
              <c:f>'Year Hiring Trend'!$D$3:$D$18</c:f>
              <c:numCache/>
            </c:numRef>
          </c:val>
          <c:smooth val="0"/>
        </c:ser>
        <c:ser>
          <c:idx val="3"/>
          <c:order val="3"/>
          <c:tx>
            <c:strRef>
              <c:f>'Year Hiring Trend'!$E$1:$E$2</c:f>
            </c:strRef>
          </c:tx>
          <c:spPr>
            <a:ln cmpd="sng">
              <a:solidFill>
                <a:srgbClr val="34A853"/>
              </a:solidFill>
            </a:ln>
          </c:spPr>
          <c:marker>
            <c:symbol val="none"/>
          </c:marker>
          <c:cat>
            <c:strRef>
              <c:f>'Year Hiring Trend'!$A$3:$A$18</c:f>
            </c:strRef>
          </c:cat>
          <c:val>
            <c:numRef>
              <c:f>'Year Hiring Trend'!$E$3:$E$18</c:f>
              <c:numCache/>
            </c:numRef>
          </c:val>
          <c:smooth val="0"/>
        </c:ser>
        <c:ser>
          <c:idx val="4"/>
          <c:order val="4"/>
          <c:tx>
            <c:strRef>
              <c:f>'Year Hiring Trend'!$F$1:$F$2</c:f>
            </c:strRef>
          </c:tx>
          <c:spPr>
            <a:ln cmpd="sng">
              <a:solidFill>
                <a:srgbClr val="FF6D01"/>
              </a:solidFill>
            </a:ln>
          </c:spPr>
          <c:marker>
            <c:symbol val="none"/>
          </c:marker>
          <c:cat>
            <c:strRef>
              <c:f>'Year Hiring Trend'!$A$3:$A$18</c:f>
            </c:strRef>
          </c:cat>
          <c:val>
            <c:numRef>
              <c:f>'Year Hiring Trend'!$F$3:$F$18</c:f>
              <c:numCache/>
            </c:numRef>
          </c:val>
          <c:smooth val="0"/>
        </c:ser>
        <c:ser>
          <c:idx val="5"/>
          <c:order val="5"/>
          <c:tx>
            <c:strRef>
              <c:f>'Year Hiring Trend'!$G$1:$G$2</c:f>
            </c:strRef>
          </c:tx>
          <c:spPr>
            <a:ln cmpd="sng">
              <a:solidFill>
                <a:srgbClr val="46BDC6"/>
              </a:solidFill>
            </a:ln>
          </c:spPr>
          <c:marker>
            <c:symbol val="none"/>
          </c:marker>
          <c:cat>
            <c:strRef>
              <c:f>'Year Hiring Trend'!$A$3:$A$18</c:f>
            </c:strRef>
          </c:cat>
          <c:val>
            <c:numRef>
              <c:f>'Year Hiring Trend'!$G$3:$G$18</c:f>
              <c:numCache/>
            </c:numRef>
          </c:val>
          <c:smooth val="0"/>
        </c:ser>
        <c:axId val="982082205"/>
        <c:axId val="1203916328"/>
      </c:lineChart>
      <c:catAx>
        <c:axId val="9820822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c:txPr>
          <a:bodyPr/>
          <a:lstStyle/>
          <a:p>
            <a:pPr lvl="0">
              <a:defRPr b="0">
                <a:solidFill>
                  <a:srgbClr val="000000"/>
                </a:solidFill>
                <a:latin typeface="+mn-lt"/>
              </a:defRPr>
            </a:pPr>
          </a:p>
        </c:txPr>
        <c:crossAx val="1203916328"/>
      </c:catAx>
      <c:valAx>
        <c:axId val="12039163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2082205"/>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TOP 5 Employee</a:t>
            </a:r>
          </a:p>
        </c:rich>
      </c:tx>
      <c:overlay val="0"/>
    </c:title>
    <c:plotArea>
      <c:layout/>
      <c:barChart>
        <c:barDir val="col"/>
        <c:ser>
          <c:idx val="0"/>
          <c:order val="0"/>
          <c:spPr>
            <a:solidFill>
              <a:schemeClr val="accent1"/>
            </a:solidFill>
            <a:ln cmpd="sng">
              <a:solidFill>
                <a:srgbClr val="000000"/>
              </a:solidFill>
            </a:ln>
          </c:spPr>
          <c:dLbls>
            <c:numFmt formatCode="General" sourceLinked="1"/>
            <c:txPr>
              <a:bodyPr/>
              <a:lstStyle/>
              <a:p>
                <a:pPr lvl="0">
                  <a:defRPr b="1">
                    <a:solidFill>
                      <a:srgbClr val="000000"/>
                    </a:solidFill>
                  </a:defRPr>
                </a:pPr>
              </a:p>
            </c:txPr>
            <c:showLegendKey val="0"/>
            <c:showVal val="1"/>
            <c:showCatName val="0"/>
            <c:showSerName val="0"/>
            <c:showPercent val="0"/>
            <c:showBubbleSize val="0"/>
          </c:dLbls>
          <c:cat>
            <c:strRef>
              <c:f>'Top 5 Emp'!$E$4:$E$8</c:f>
            </c:strRef>
          </c:cat>
          <c:val>
            <c:numRef>
              <c:f>'Top 5 Emp'!$F$4:$F$8</c:f>
              <c:numCache/>
            </c:numRef>
          </c:val>
        </c:ser>
        <c:axId val="1707151030"/>
        <c:axId val="771568634"/>
      </c:barChart>
      <c:catAx>
        <c:axId val="17071510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1">
                <a:solidFill>
                  <a:srgbClr val="000000"/>
                </a:solidFill>
                <a:latin typeface="+mn-lt"/>
              </a:defRPr>
            </a:pPr>
          </a:p>
        </c:txPr>
        <c:crossAx val="771568634"/>
      </c:catAx>
      <c:valAx>
        <c:axId val="7715686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1">
                <a:solidFill>
                  <a:srgbClr val="000000"/>
                </a:solidFill>
                <a:latin typeface="+mn-lt"/>
              </a:defRPr>
            </a:pPr>
          </a:p>
        </c:txPr>
        <c:crossAx val="1707151030"/>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400">
                <a:solidFill>
                  <a:srgbClr val="757575"/>
                </a:solidFill>
                <a:latin typeface="+mn-lt"/>
              </a:defRPr>
            </a:pPr>
            <a:r>
              <a:rPr b="1" sz="1400">
                <a:solidFill>
                  <a:srgbClr val="757575"/>
                </a:solidFill>
                <a:latin typeface="+mn-lt"/>
              </a:rPr>
              <a:t>AVERAGE of Salary of Job_Role</a:t>
            </a:r>
          </a:p>
        </c:rich>
      </c:tx>
      <c:overlay val="0"/>
    </c:title>
    <c:view3D>
      <c:rotX val="15"/>
      <c:rotY val="20"/>
      <c:depthPercent val="100"/>
      <c:rAngAx val="1"/>
    </c:view3D>
    <c:plotArea>
      <c:layout/>
      <c:bar3DChart>
        <c:barDir val="col"/>
        <c:grouping val="stacked"/>
        <c:ser>
          <c:idx val="0"/>
          <c:order val="0"/>
          <c:tx>
            <c:strRef>
              <c:f>'Pivot Table 5'!$B$1</c:f>
            </c:strRef>
          </c:tx>
          <c:spPr>
            <a:solidFill>
              <a:schemeClr val="accent1"/>
            </a:solidFill>
            <a:ln cmpd="sng">
              <a:solidFill>
                <a:srgbClr val="000000"/>
              </a:solidFill>
            </a:ln>
          </c:spPr>
          <c:dPt>
            <c:idx val="0"/>
          </c:dPt>
          <c:cat>
            <c:strRef>
              <c:f>'Pivot Table 5'!$A$2:$A$7</c:f>
            </c:strRef>
          </c:cat>
          <c:val>
            <c:numRef>
              <c:f>'Pivot Table 5'!$B$2:$B$7</c:f>
              <c:numCache/>
            </c:numRef>
          </c:val>
        </c:ser>
        <c:axId val="2039094058"/>
        <c:axId val="583178411"/>
      </c:bar3DChart>
      <c:catAx>
        <c:axId val="2039094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Job_Role</a:t>
                </a:r>
              </a:p>
            </c:rich>
          </c:tx>
          <c:overlay val="0"/>
        </c:title>
        <c:numFmt formatCode="General" sourceLinked="1"/>
        <c:majorTickMark val="none"/>
        <c:minorTickMark val="none"/>
        <c:spPr/>
        <c:txPr>
          <a:bodyPr/>
          <a:lstStyle/>
          <a:p>
            <a:pPr lvl="0">
              <a:defRPr b="1">
                <a:solidFill>
                  <a:srgbClr val="000000"/>
                </a:solidFill>
                <a:latin typeface="+mn-lt"/>
              </a:defRPr>
            </a:pPr>
          </a:p>
        </c:txPr>
        <c:crossAx val="583178411"/>
      </c:catAx>
      <c:valAx>
        <c:axId val="5831784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of Salary</a:t>
                </a:r>
              </a:p>
            </c:rich>
          </c:tx>
          <c:overlay val="0"/>
        </c:title>
        <c:numFmt formatCode="General" sourceLinked="1"/>
        <c:majorTickMark val="none"/>
        <c:minorTickMark val="none"/>
        <c:tickLblPos val="nextTo"/>
        <c:spPr>
          <a:ln/>
        </c:spPr>
        <c:txPr>
          <a:bodyPr/>
          <a:lstStyle/>
          <a:p>
            <a:pPr lvl="0">
              <a:defRPr b="1">
                <a:solidFill>
                  <a:srgbClr val="000000"/>
                </a:solidFill>
                <a:latin typeface="+mn-lt"/>
              </a:defRPr>
            </a:pPr>
          </a:p>
        </c:txPr>
        <c:crossAx val="2039094058"/>
      </c:valAx>
    </c:plotArea>
    <c:legend>
      <c:legendPos val="r"/>
      <c:overlay val="0"/>
      <c:txPr>
        <a:bodyPr/>
        <a:lstStyle/>
        <a:p>
          <a:pPr lvl="0">
            <a:defRPr b="1">
              <a:solidFill>
                <a:schemeClr val="accent1"/>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COUNT of Employee_ID vs Department</a:t>
            </a:r>
          </a:p>
        </c:rich>
      </c:tx>
      <c:overlay val="0"/>
    </c:title>
    <c:plotArea>
      <c:layout/>
      <c:barChart>
        <c:barDir val="col"/>
        <c:ser>
          <c:idx val="0"/>
          <c:order val="0"/>
          <c:tx>
            <c:strRef>
              <c:f>'Pivot Table 2'!$B$1</c:f>
            </c:strRef>
          </c:tx>
          <c:spPr>
            <a:solidFill>
              <a:schemeClr val="accent1"/>
            </a:solidFill>
            <a:ln cmpd="sng">
              <a:solidFill>
                <a:srgbClr val="000000"/>
              </a:solidFill>
            </a:ln>
          </c:spPr>
          <c:cat>
            <c:strRef>
              <c:f>'Pivot Table 2'!$A$2:$A$8</c:f>
            </c:strRef>
          </c:cat>
          <c:val>
            <c:numRef>
              <c:f>'Pivot Table 2'!$B$2:$B$8</c:f>
              <c:numCache/>
            </c:numRef>
          </c:val>
        </c:ser>
        <c:axId val="2107698993"/>
        <c:axId val="2033677075"/>
      </c:barChart>
      <c:catAx>
        <c:axId val="21076989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Department</a:t>
                </a:r>
              </a:p>
            </c:rich>
          </c:tx>
          <c:overlay val="0"/>
        </c:title>
        <c:numFmt formatCode="General" sourceLinked="1"/>
        <c:majorTickMark val="none"/>
        <c:minorTickMark val="none"/>
        <c:spPr/>
        <c:txPr>
          <a:bodyPr/>
          <a:lstStyle/>
          <a:p>
            <a:pPr lvl="0">
              <a:defRPr b="0">
                <a:solidFill>
                  <a:srgbClr val="000000"/>
                </a:solidFill>
                <a:latin typeface="+mn-lt"/>
              </a:defRPr>
            </a:pPr>
          </a:p>
        </c:txPr>
        <c:crossAx val="2033677075"/>
      </c:catAx>
      <c:valAx>
        <c:axId val="20336770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COUNT of Employee_ID</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7698993"/>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Chart6.png"/><Relationship Id="rId2" Type="http://schemas.openxmlformats.org/officeDocument/2006/relationships/image" Target="../media/Chart7.png"/><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19050</xdr:colOff>
      <xdr:row>10</xdr:row>
      <xdr:rowOff>161925</xdr:rowOff>
    </xdr:from>
    <xdr:ext cx="2857500" cy="2857500"/>
    <mc:AlternateContent>
      <mc:Choice Requires="sle15">
        <xdr:graphicFrame>
          <xdr:nvGraphicFramePr>
            <xdr:cNvPr id="1" name="Department_1"/>
            <xdr:cNvGraphicFramePr/>
          </xdr:nvGraphicFramePr>
          <xdr:xfrm>
            <a:off x="0" y="0"/>
            <a:ext cx="0" cy="0"/>
          </xdr:xfrm>
          <a:graphic>
            <a:graphicData uri="http://schemas.microsoft.com/office/drawing/2010/slicer">
              <x3Unk:slicer name="Department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5</xdr:col>
      <xdr:colOff>19050</xdr:colOff>
      <xdr:row>11</xdr:row>
      <xdr:rowOff>161925</xdr:rowOff>
    </xdr:from>
    <xdr:ext cx="2857500" cy="2857500"/>
    <mc:AlternateContent>
      <mc:Choice Requires="sle15">
        <xdr:graphicFrame>
          <xdr:nvGraphicFramePr>
            <xdr:cNvPr id="2" name="Year_2"/>
            <xdr:cNvGraphicFramePr/>
          </xdr:nvGraphicFramePr>
          <xdr:xfrm>
            <a:off x="0" y="0"/>
            <a:ext cx="0" cy="0"/>
          </xdr:xfrm>
          <a:graphic>
            <a:graphicData uri="http://schemas.microsoft.com/office/drawing/2010/slicer">
              <x3Unk:slicer name="Year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6</xdr:col>
      <xdr:colOff>19050</xdr:colOff>
      <xdr:row>12</xdr:row>
      <xdr:rowOff>161925</xdr:rowOff>
    </xdr:from>
    <xdr:ext cx="2857500" cy="2857500"/>
    <mc:AlternateContent>
      <mc:Choice Requires="sle15">
        <xdr:graphicFrame>
          <xdr:nvGraphicFramePr>
            <xdr:cNvPr id="3" name="Gender_3"/>
            <xdr:cNvGraphicFramePr/>
          </xdr:nvGraphicFramePr>
          <xdr:xfrm>
            <a:off x="0" y="0"/>
            <a:ext cx="0" cy="0"/>
          </xdr:xfrm>
          <a:graphic>
            <a:graphicData uri="http://schemas.microsoft.com/office/drawing/2010/slicer">
              <x3Unk:slicer name="Gender_3"/>
            </a:graphicData>
          </a:graphic>
        </xdr:graphicFrame>
      </mc:Choice>
      <mc:Fallback>
        <xdr:sp>
          <xdr:nvSpPr>
            <xdr:cNvPr id="3"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514350</xdr:colOff>
      <xdr:row>2</xdr:row>
      <xdr:rowOff>171450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809625</xdr:colOff>
      <xdr:row>0</xdr:row>
      <xdr:rowOff>152400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19050</xdr:colOff>
      <xdr:row>10</xdr:row>
      <xdr:rowOff>133350</xdr:rowOff>
    </xdr:from>
    <xdr:ext cx="2857500" cy="2857500"/>
    <mc:AlternateContent>
      <mc:Choice Requires="sle15">
        <xdr:graphicFrame>
          <xdr:nvGraphicFramePr>
            <xdr:cNvPr id="4" name="Gender_4"/>
            <xdr:cNvGraphicFramePr/>
          </xdr:nvGraphicFramePr>
          <xdr:xfrm>
            <a:off x="0" y="0"/>
            <a:ext cx="0" cy="0"/>
          </xdr:xfrm>
          <a:graphic>
            <a:graphicData uri="http://schemas.microsoft.com/office/drawing/2010/slicer">
              <x3Unk:slicer name="Gender_4"/>
            </a:graphicData>
          </a:graphic>
        </xdr:graphicFrame>
      </mc:Choice>
      <mc:Fallback>
        <xdr:sp>
          <xdr:nvSpPr>
            <xdr:cNvPr id="4"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714375</xdr:colOff>
      <xdr:row>1</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xdr:colOff>
      <xdr:row>19</xdr:row>
      <xdr:rowOff>152400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533400</xdr:colOff>
      <xdr:row>1</xdr:row>
      <xdr:rowOff>95250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400050</xdr:colOff>
      <xdr:row>3</xdr:row>
      <xdr:rowOff>180975</xdr:rowOff>
    </xdr:from>
    <xdr:ext cx="3295650" cy="1790700"/>
    <xdr:pic>
      <xdr:nvPicPr>
        <xdr:cNvPr id="12227847" name="Chart6"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xdr:row>
      <xdr:rowOff>9525</xdr:rowOff>
    </xdr:from>
    <xdr:ext cx="2809875" cy="1743075"/>
    <xdr:pic>
      <xdr:nvPicPr>
        <xdr:cNvPr id="1354639702" name="Chart7"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76200</xdr:colOff>
      <xdr:row>13</xdr:row>
      <xdr:rowOff>142875</xdr:rowOff>
    </xdr:from>
    <xdr:ext cx="3962400" cy="2257425"/>
    <xdr:graphicFrame>
      <xdr:nvGraphicFramePr>
        <xdr:cNvPr id="8" name="Chart 8"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11</xdr:col>
      <xdr:colOff>371475</xdr:colOff>
      <xdr:row>14</xdr:row>
      <xdr:rowOff>28575</xdr:rowOff>
    </xdr:from>
    <xdr:ext cx="3362325" cy="2095500"/>
    <xdr:graphicFrame>
      <xdr:nvGraphicFramePr>
        <xdr:cNvPr id="9" name="Chart 9"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0</xdr:col>
      <xdr:colOff>38100</xdr:colOff>
      <xdr:row>13</xdr:row>
      <xdr:rowOff>161925</xdr:rowOff>
    </xdr:from>
    <xdr:ext cx="3295650" cy="2162175"/>
    <xdr:graphicFrame>
      <xdr:nvGraphicFramePr>
        <xdr:cNvPr id="10" name="Chart 10"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2</xdr:col>
      <xdr:colOff>952500</xdr:colOff>
      <xdr:row>3</xdr:row>
      <xdr:rowOff>180975</xdr:rowOff>
    </xdr:from>
    <xdr:ext cx="3790950" cy="1790700"/>
    <xdr:graphicFrame>
      <xdr:nvGraphicFramePr>
        <xdr:cNvPr id="11" name="Chart 11"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3</xdr:col>
      <xdr:colOff>447675</xdr:colOff>
      <xdr:row>13</xdr:row>
      <xdr:rowOff>142875</xdr:rowOff>
    </xdr:from>
    <xdr:ext cx="3419475" cy="2181225"/>
    <xdr:graphicFrame>
      <xdr:nvGraphicFramePr>
        <xdr:cNvPr id="12" name="Chart 12"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7</xdr:col>
      <xdr:colOff>38100</xdr:colOff>
      <xdr:row>3</xdr:row>
      <xdr:rowOff>152400</xdr:rowOff>
    </xdr:from>
    <xdr:ext cx="4029075" cy="1866900"/>
    <xdr:graphicFrame>
      <xdr:nvGraphicFramePr>
        <xdr:cNvPr id="13" name="Chart 13"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0</xdr:col>
      <xdr:colOff>542925</xdr:colOff>
      <xdr:row>1</xdr:row>
      <xdr:rowOff>171450</xdr:rowOff>
    </xdr:from>
    <xdr:ext cx="2066925" cy="2857500"/>
    <mc:AlternateContent>
      <mc:Choice Requires="sle15">
        <xdr:graphicFrame>
          <xdr:nvGraphicFramePr>
            <xdr:cNvPr id="5" name="Department_5"/>
            <xdr:cNvGraphicFramePr/>
          </xdr:nvGraphicFramePr>
          <xdr:xfrm>
            <a:off x="0" y="0"/>
            <a:ext cx="0" cy="0"/>
          </xdr:xfrm>
          <a:graphic>
            <a:graphicData uri="http://schemas.microsoft.com/office/drawing/2010/slicer">
              <x3Unk:slicer name="Department_5"/>
            </a:graphicData>
          </a:graphic>
        </xdr:graphicFrame>
      </mc:Choice>
      <mc:Fallback>
        <xdr:sp>
          <xdr:nvSpPr>
            <xdr:cNvPr id="5"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3</xdr:col>
      <xdr:colOff>171450</xdr:colOff>
      <xdr:row>1</xdr:row>
      <xdr:rowOff>171450</xdr:rowOff>
    </xdr:from>
    <xdr:ext cx="2009775" cy="2857500"/>
    <mc:AlternateContent>
      <mc:Choice Requires="sle15">
        <xdr:graphicFrame>
          <xdr:nvGraphicFramePr>
            <xdr:cNvPr id="6" name="Year_6"/>
            <xdr:cNvGraphicFramePr/>
          </xdr:nvGraphicFramePr>
          <xdr:xfrm>
            <a:off x="0" y="0"/>
            <a:ext cx="0" cy="0"/>
          </xdr:xfrm>
          <a:graphic>
            <a:graphicData uri="http://schemas.microsoft.com/office/drawing/2010/slicer">
              <x3Unk:slicer name="Year_6"/>
            </a:graphicData>
          </a:graphic>
        </xdr:graphicFrame>
      </mc:Choice>
      <mc:Fallback>
        <xdr:sp>
          <xdr:nvSpPr>
            <xdr:cNvPr id="6"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9</xdr:col>
      <xdr:colOff>133350</xdr:colOff>
      <xdr:row>1</xdr:row>
      <xdr:rowOff>171450</xdr:rowOff>
    </xdr:from>
    <xdr:ext cx="2066925" cy="2857500"/>
    <mc:AlternateContent>
      <mc:Choice Requires="sle15">
        <xdr:graphicFrame>
          <xdr:nvGraphicFramePr>
            <xdr:cNvPr id="7" name="Gender_7"/>
            <xdr:cNvGraphicFramePr/>
          </xdr:nvGraphicFramePr>
          <xdr:xfrm>
            <a:off x="0" y="0"/>
            <a:ext cx="0" cy="0"/>
          </xdr:xfrm>
          <a:graphic>
            <a:graphicData uri="http://schemas.microsoft.com/office/drawing/2010/slicer">
              <x3Unk:slicer name="Gender_7"/>
            </a:graphicData>
          </a:graphic>
        </xdr:graphicFrame>
      </mc:Choice>
      <mc:Fallback>
        <xdr:sp>
          <xdr:nvSpPr>
            <xdr:cNvPr id="7"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11</xdr:col>
      <xdr:colOff>885825</xdr:colOff>
      <xdr:row>1</xdr:row>
      <xdr:rowOff>171450</xdr:rowOff>
    </xdr:from>
    <xdr:ext cx="2066925" cy="2857500"/>
    <mc:AlternateContent>
      <mc:Choice Requires="sle15">
        <xdr:graphicFrame>
          <xdr:nvGraphicFramePr>
            <xdr:cNvPr id="8" name="Location_8"/>
            <xdr:cNvGraphicFramePr/>
          </xdr:nvGraphicFramePr>
          <xdr:xfrm>
            <a:off x="0" y="0"/>
            <a:ext cx="0" cy="0"/>
          </xdr:xfrm>
          <a:graphic>
            <a:graphicData uri="http://schemas.microsoft.com/office/drawing/2010/slicer">
              <x3Unk:slicer name="Location_8"/>
            </a:graphicData>
          </a:graphic>
        </xdr:graphicFrame>
      </mc:Choice>
      <mc:Fallback>
        <xdr:sp>
          <xdr:nvSpPr>
            <xdr:cNvPr id="8"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457200</xdr:colOff>
      <xdr:row>0</xdr:row>
      <xdr:rowOff>171450</xdr:rowOff>
    </xdr:from>
    <xdr:ext cx="5715000" cy="3533775"/>
    <xdr:graphicFrame>
      <xdr:nvGraphicFramePr>
        <xdr:cNvPr id="14" name="Chart 1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O501" sheet="hr_analytics_500_rows"/>
  </cacheSource>
  <cacheFields>
    <cacheField name="Employee_ID"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n v="341.0"/>
        <n v="342.0"/>
        <n v="343.0"/>
        <n v="344.0"/>
        <n v="345.0"/>
        <n v="346.0"/>
        <n v="347.0"/>
        <n v="348.0"/>
        <n v="349.0"/>
        <n v="350.0"/>
        <n v="351.0"/>
        <n v="352.0"/>
        <n v="353.0"/>
        <n v="354.0"/>
        <n v="355.0"/>
        <n v="356.0"/>
        <n v="357.0"/>
        <n v="358.0"/>
        <n v="359.0"/>
        <n v="360.0"/>
        <n v="361.0"/>
        <n v="362.0"/>
        <n v="363.0"/>
        <n v="364.0"/>
        <n v="365.0"/>
        <n v="366.0"/>
        <n v="367.0"/>
        <n v="368.0"/>
        <n v="369.0"/>
        <n v="370.0"/>
        <n v="371.0"/>
        <n v="372.0"/>
        <n v="373.0"/>
        <n v="374.0"/>
        <n v="375.0"/>
        <n v="376.0"/>
        <n v="377.0"/>
        <n v="378.0"/>
        <n v="379.0"/>
        <n v="380.0"/>
        <n v="381.0"/>
        <n v="382.0"/>
        <n v="383.0"/>
        <n v="384.0"/>
        <n v="385.0"/>
        <n v="386.0"/>
        <n v="387.0"/>
        <n v="388.0"/>
        <n v="389.0"/>
        <n v="390.0"/>
        <n v="391.0"/>
        <n v="392.0"/>
        <n v="393.0"/>
        <n v="394.0"/>
        <n v="395.0"/>
        <n v="396.0"/>
        <n v="397.0"/>
        <n v="398.0"/>
        <n v="399.0"/>
        <n v="400.0"/>
        <n v="401.0"/>
        <n v="402.0"/>
        <n v="403.0"/>
        <n v="404.0"/>
        <n v="405.0"/>
        <n v="406.0"/>
        <n v="407.0"/>
        <n v="408.0"/>
        <n v="409.0"/>
        <n v="410.0"/>
        <n v="411.0"/>
        <n v="412.0"/>
        <n v="413.0"/>
        <n v="414.0"/>
        <n v="415.0"/>
        <n v="416.0"/>
        <n v="417.0"/>
        <n v="418.0"/>
        <n v="419.0"/>
        <n v="420.0"/>
        <n v="421.0"/>
        <n v="422.0"/>
        <n v="423.0"/>
        <n v="424.0"/>
        <n v="425.0"/>
        <n v="426.0"/>
        <n v="427.0"/>
        <n v="428.0"/>
        <n v="429.0"/>
        <n v="430.0"/>
        <n v="431.0"/>
        <n v="432.0"/>
        <n v="433.0"/>
        <n v="434.0"/>
        <n v="435.0"/>
        <n v="436.0"/>
        <n v="437.0"/>
        <n v="438.0"/>
        <n v="439.0"/>
        <n v="440.0"/>
        <n v="441.0"/>
        <n v="442.0"/>
        <n v="443.0"/>
        <n v="444.0"/>
        <n v="445.0"/>
        <n v="446.0"/>
        <n v="447.0"/>
        <n v="448.0"/>
        <n v="449.0"/>
        <n v="450.0"/>
        <n v="451.0"/>
        <n v="452.0"/>
        <n v="453.0"/>
        <n v="454.0"/>
        <n v="455.0"/>
        <n v="456.0"/>
        <n v="457.0"/>
        <n v="458.0"/>
        <n v="459.0"/>
        <n v="460.0"/>
        <n v="461.0"/>
        <n v="462.0"/>
        <n v="463.0"/>
        <n v="464.0"/>
        <n v="465.0"/>
        <n v="466.0"/>
        <n v="467.0"/>
        <n v="468.0"/>
        <n v="469.0"/>
        <n v="470.0"/>
        <n v="471.0"/>
        <n v="472.0"/>
        <n v="473.0"/>
        <n v="474.0"/>
        <n v="475.0"/>
        <n v="476.0"/>
        <n v="477.0"/>
        <n v="478.0"/>
        <n v="479.0"/>
        <n v="480.0"/>
        <n v="481.0"/>
        <n v="482.0"/>
        <n v="483.0"/>
        <n v="484.0"/>
        <n v="485.0"/>
        <n v="486.0"/>
        <n v="487.0"/>
        <n v="488.0"/>
        <n v="489.0"/>
        <n v="490.0"/>
        <n v="491.0"/>
        <n v="492.0"/>
        <n v="493.0"/>
        <n v="494.0"/>
        <n v="495.0"/>
        <n v="496.0"/>
        <n v="497.0"/>
        <n v="498.0"/>
        <n v="499.0"/>
        <n v="500.0"/>
      </sharedItems>
    </cacheField>
    <cacheField name="Name" numFmtId="0">
      <sharedItems>
        <s v="Shaurya Patel"/>
        <s v="Sai Sharma"/>
        <s v="Reyansh Sharma"/>
        <s v="Pari Patel"/>
        <s v="Aarav Singh"/>
        <s v="Arjun Singh"/>
        <s v="Saanvi Singh"/>
        <s v="Anika Nair"/>
        <s v="Saanvi Patel"/>
        <s v="Diya Patel"/>
        <s v="Ira Sharma"/>
        <s v="Sara Sharma"/>
        <s v="Pari Sharma"/>
        <s v="Ananya Nair"/>
        <s v="Pari Nair"/>
        <s v="Myra Patel"/>
        <s v="Sai Khan"/>
        <s v="Sara Khan"/>
        <s v="Vivaan Sharma"/>
        <s v="Saanvi Nair"/>
        <s v="Navya Patel"/>
        <s v="Reyansh Patel"/>
        <s v="Vihaan Khan"/>
        <s v="Myra Sharma"/>
        <s v="Aarav Sharma"/>
        <s v="Diya Khan"/>
        <s v="Sai Nair"/>
        <s v="Shaurya Nair"/>
        <s v="Aadhya Nair"/>
        <s v="Ira Khan"/>
        <s v="Vihaan Sharma"/>
        <s v="Aditya Patel"/>
        <s v="Aadhya Patel"/>
        <s v="Ira Nair"/>
        <s v="Vivaan Patel"/>
        <s v="Krishna Singh"/>
        <s v="Krishna Khan"/>
        <s v="Shaurya Sharma"/>
        <s v="Vihaan Singh"/>
        <s v="Ira Singh"/>
        <s v="Aarav Khan"/>
        <s v="Shaurya Singh"/>
        <s v="Aadhya Singh"/>
        <s v="Arjun Patel"/>
        <s v="Vivaan Nair"/>
        <s v="Ishaan Khan"/>
        <s v="Saanvi Khan"/>
        <s v="Anika Khan"/>
        <s v="Shaurya Khan"/>
        <s v="Ananya Patel"/>
        <s v="Krishna Nair"/>
        <s v="Arjun Nair"/>
        <s v="Ishaan Singh"/>
        <s v="Vivaan Singh"/>
        <s v="Pari Khan"/>
        <s v="Krishna Patel"/>
        <s v="Reyansh Nair"/>
        <s v="Diya Nair"/>
        <s v="Ishaan Patel"/>
        <s v="Aditya Singh"/>
        <s v="Sai Patel"/>
        <s v="Diya Sharma"/>
        <s v="Reyansh Khan"/>
        <s v="Vihaan Nair"/>
        <s v="Reyansh Singh"/>
        <s v="Ananya Singh"/>
        <s v="Sara Nair"/>
        <s v="Aditya Sharma"/>
        <s v="Sai Singh"/>
        <s v="Myra Nair"/>
        <s v="Pari Singh"/>
        <s v="Vihaan Patel"/>
        <s v="Myra Khan"/>
        <s v="Diya Singh"/>
        <s v="Aditya Khan"/>
        <s v="Ananya Khan"/>
        <s v="Sara Patel"/>
        <s v="Aditya Nair"/>
        <s v="Saanvi Sharma"/>
        <s v="Myra Singh"/>
        <s v="Arjun Khan"/>
        <s v="Ishaan Nair"/>
        <s v="Navya Sharma"/>
        <s v="Navya Singh"/>
        <s v="Vivaan Khan"/>
        <s v="Navya Khan"/>
        <s v="Krishna Sharma"/>
        <s v="Aarav Patel"/>
        <s v="Sara Singh"/>
        <s v="Anika Patel"/>
        <s v="Ira Patel"/>
        <s v="Arjun Sharma"/>
        <s v="Aadhya Sharma"/>
        <s v="Aarav Nair"/>
        <s v="Ishaan Sharma"/>
        <s v="Ananya Sharma"/>
        <s v="Aadhya Khan"/>
        <s v="Navya Nair"/>
        <s v="Anika Singh"/>
        <s v="Anika Sharma"/>
      </sharedItems>
    </cacheField>
    <cacheField name="Age" numFmtId="0">
      <sharedItems containsSemiMixedTypes="0" containsString="0" containsNumber="1" containsInteger="1">
        <n v="40.0"/>
        <n v="60.0"/>
        <n v="37.0"/>
        <n v="42.0"/>
        <n v="53.0"/>
        <n v="45.0"/>
        <n v="56.0"/>
        <n v="27.0"/>
        <n v="57.0"/>
        <n v="24.0"/>
        <n v="36.0"/>
        <n v="59.0"/>
        <n v="34.0"/>
        <n v="41.0"/>
        <n v="49.0"/>
        <n v="28.0"/>
        <n v="48.0"/>
        <n v="55.0"/>
        <n v="51.0"/>
        <n v="23.0"/>
        <n v="54.0"/>
        <n v="30.0"/>
        <n v="25.0"/>
        <n v="31.0"/>
        <n v="50.0"/>
        <n v="43.0"/>
        <n v="26.0"/>
        <n v="47.0"/>
        <n v="44.0"/>
        <n v="21.0"/>
        <n v="38.0"/>
        <n v="39.0"/>
        <n v="22.0"/>
        <n v="33.0"/>
        <n v="29.0"/>
        <n v="52.0"/>
        <n v="46.0"/>
        <n v="35.0"/>
        <n v="58.0"/>
        <n v="32.0"/>
      </sharedItems>
    </cacheField>
    <cacheField name="Gender" numFmtId="0">
      <sharedItems>
        <s v="Female"/>
        <s v="Male"/>
      </sharedItems>
    </cacheField>
    <cacheField name="Department" numFmtId="0">
      <sharedItems>
        <s v="Marketing"/>
        <s v="IT"/>
        <s v="Operations"/>
        <s v="Finance"/>
        <s v="HR"/>
        <s v="Sales"/>
      </sharedItems>
    </cacheField>
    <cacheField name="Job_Role" numFmtId="0">
      <sharedItems>
        <s v="Manager"/>
        <s v="Associate"/>
        <s v="Analyst"/>
        <s v="Team Lead"/>
        <s v="Executive"/>
      </sharedItems>
    </cacheField>
    <cacheField name="Experience_Years" numFmtId="0">
      <sharedItems containsSemiMixedTypes="0" containsString="0" containsNumber="1" containsInteger="1">
        <n v="6.0"/>
        <n v="11.0"/>
        <n v="7.0"/>
        <n v="15.0"/>
        <n v="10.0"/>
        <n v="2.0"/>
        <n v="9.0"/>
        <n v="1.0"/>
        <n v="3.0"/>
        <n v="12.0"/>
        <n v="14.0"/>
        <n v="8.0"/>
        <n v="5.0"/>
        <n v="13.0"/>
        <n v="4.0"/>
        <n v="0.0"/>
      </sharedItems>
    </cacheField>
    <cacheField name="Salary" numFmtId="0">
      <sharedItems containsSemiMixedTypes="0" containsString="0" containsNumber="1" containsInteger="1">
        <n v="36968.0"/>
        <n v="36249.0"/>
        <n v="85099.0"/>
        <n v="107875.0"/>
        <n v="37482.0"/>
        <n v="61982.0"/>
        <n v="107728.0"/>
        <n v="86757.0"/>
        <n v="100034.0"/>
        <n v="60448.0"/>
        <n v="42104.0"/>
        <n v="82905.0"/>
        <n v="109052.0"/>
        <n v="53731.0"/>
        <n v="64795.0"/>
        <n v="90005.0"/>
        <n v="36631.0"/>
        <n v="31832.0"/>
        <n v="72364.0"/>
        <n v="72005.0"/>
        <n v="78070.0"/>
        <n v="50542.0"/>
        <n v="75213.0"/>
        <n v="35996.0"/>
        <n v="45024.0"/>
        <n v="73145.0"/>
        <n v="45788.0"/>
        <n v="64379.0"/>
        <n v="88644.0"/>
        <n v="110968.0"/>
        <n v="100516.0"/>
        <n v="25564.0"/>
        <n v="107523.0"/>
        <n v="106102.0"/>
        <n v="58776.0"/>
        <n v="85721.0"/>
        <n v="118456.0"/>
        <n v="112403.0"/>
        <n v="59300.0"/>
        <n v="40770.0"/>
        <n v="33203.0"/>
        <n v="99536.0"/>
        <n v="68698.0"/>
        <n v="105950.0"/>
        <n v="90503.0"/>
        <n v="56895.0"/>
        <n v="118464.0"/>
        <n v="116632.0"/>
        <n v="22193.0"/>
        <n v="79671.0"/>
        <n v="86758.0"/>
        <n v="42120.0"/>
        <n v="67434.0"/>
        <n v="74713.0"/>
        <n v="78281.0"/>
        <n v="94760.0"/>
        <n v="77041.0"/>
        <n v="62632.0"/>
        <n v="91153.0"/>
        <n v="117710.0"/>
        <n v="85584.0"/>
        <n v="20474.0"/>
        <n v="102377.0"/>
        <n v="86677.0"/>
        <n v="49861.0"/>
        <n v="60106.0"/>
        <n v="78134.0"/>
        <n v="80904.0"/>
        <n v="24511.0"/>
        <n v="102841.0"/>
        <n v="28317.0"/>
        <n v="45890.0"/>
        <n v="44314.0"/>
        <n v="90538.0"/>
        <n v="114042.0"/>
        <n v="34260.0"/>
        <n v="109265.0"/>
        <n v="52697.0"/>
        <n v="73419.0"/>
        <n v="96179.0"/>
        <n v="27120.0"/>
        <n v="112924.0"/>
        <n v="114747.0"/>
        <n v="26328.0"/>
        <n v="69820.0"/>
        <n v="38177.0"/>
        <n v="84166.0"/>
        <n v="21683.0"/>
        <n v="40919.0"/>
        <n v="34667.0"/>
        <n v="58156.0"/>
        <n v="54627.0"/>
        <n v="103370.0"/>
        <n v="38571.0"/>
        <n v="46217.0"/>
        <n v="38017.0"/>
        <n v="99161.0"/>
        <n v="105902.0"/>
        <n v="64348.0"/>
        <n v="90650.0"/>
        <n v="32455.0"/>
        <n v="57369.0"/>
        <n v="34384.0"/>
        <n v="114863.0"/>
        <n v="117659.0"/>
        <n v="21162.0"/>
        <n v="43556.0"/>
        <n v="115031.0"/>
        <n v="39509.0"/>
        <n v="23422.0"/>
        <n v="48853.0"/>
        <n v="76111.0"/>
        <n v="79482.0"/>
        <n v="47737.0"/>
        <n v="63010.0"/>
        <n v="40072.0"/>
        <n v="97227.0"/>
        <n v="37772.0"/>
        <n v="50382.0"/>
        <n v="88184.0"/>
        <n v="62410.0"/>
        <n v="59910.0"/>
        <n v="29847.0"/>
        <n v="32072.0"/>
        <n v="35683.0"/>
        <n v="116691.0"/>
        <n v="84897.0"/>
        <n v="109990.0"/>
        <n v="40047.0"/>
        <n v="35031.0"/>
        <n v="93840.0"/>
        <n v="37196.0"/>
        <n v="46508.0"/>
        <n v="42223.0"/>
        <n v="102701.0"/>
        <n v="62191.0"/>
        <n v="34560.0"/>
        <n v="35818.0"/>
        <n v="32861.0"/>
        <n v="97889.0"/>
        <n v="56631.0"/>
        <n v="82099.0"/>
        <n v="119349.0"/>
        <n v="26845.0"/>
        <n v="79079.0"/>
        <n v="45966.0"/>
        <n v="102890.0"/>
        <n v="109314.0"/>
        <n v="34550.0"/>
        <n v="72019.0"/>
        <n v="29652.0"/>
        <n v="118753.0"/>
        <n v="93834.0"/>
        <n v="112252.0"/>
        <n v="67800.0"/>
        <n v="47169.0"/>
        <n v="20041.0"/>
        <n v="61740.0"/>
        <n v="94994.0"/>
        <n v="23434.0"/>
        <n v="104226.0"/>
        <n v="39764.0"/>
        <n v="75806.0"/>
        <n v="71124.0"/>
        <n v="98741.0"/>
        <n v="24604.0"/>
        <n v="115470.0"/>
        <n v="33881.0"/>
        <n v="65604.0"/>
        <n v="84113.0"/>
        <n v="38543.0"/>
        <n v="69672.0"/>
        <n v="46642.0"/>
        <n v="52948.0"/>
        <n v="109324.0"/>
        <n v="80832.0"/>
        <n v="28922.0"/>
        <n v="53477.0"/>
        <n v="89952.0"/>
        <n v="76554.0"/>
        <n v="32328.0"/>
        <n v="27199.0"/>
        <n v="105615.0"/>
        <n v="32469.0"/>
        <n v="73317.0"/>
        <n v="59995.0"/>
        <n v="110093.0"/>
        <n v="72000.0"/>
        <n v="28211.0"/>
        <n v="36468.0"/>
        <n v="115545.0"/>
        <n v="63322.0"/>
        <n v="82333.0"/>
        <n v="97447.0"/>
        <n v="114974.0"/>
        <n v="61674.0"/>
        <n v="39919.0"/>
        <n v="64127.0"/>
        <n v="114682.0"/>
        <n v="21985.0"/>
        <n v="89516.0"/>
        <n v="60249.0"/>
        <n v="20445.0"/>
        <n v="65769.0"/>
        <n v="115169.0"/>
        <n v="68454.0"/>
        <n v="66432.0"/>
        <n v="113089.0"/>
        <n v="36451.0"/>
        <n v="59022.0"/>
        <n v="82994.0"/>
        <n v="104115.0"/>
        <n v="86365.0"/>
        <n v="86548.0"/>
        <n v="106550.0"/>
        <n v="24686.0"/>
        <n v="64219.0"/>
        <n v="106746.0"/>
        <n v="34831.0"/>
        <n v="43477.0"/>
        <n v="70970.0"/>
        <n v="77860.0"/>
        <n v="93782.0"/>
        <n v="108129.0"/>
        <n v="102619.0"/>
        <n v="109132.0"/>
        <n v="25035.0"/>
        <n v="76408.0"/>
        <n v="52161.0"/>
        <n v="48016.0"/>
        <n v="43536.0"/>
        <n v="50259.0"/>
        <n v="64614.0"/>
        <n v="92579.0"/>
        <n v="79569.0"/>
        <n v="67793.0"/>
        <n v="53153.0"/>
        <n v="29981.0"/>
        <n v="77069.0"/>
        <n v="108430.0"/>
        <n v="54886.0"/>
        <n v="55482.0"/>
        <n v="115656.0"/>
        <n v="76742.0"/>
        <n v="54170.0"/>
        <n v="75732.0"/>
        <n v="66008.0"/>
        <n v="72096.0"/>
        <n v="86979.0"/>
        <n v="33939.0"/>
        <n v="92147.0"/>
        <n v="95003.0"/>
        <n v="79083.0"/>
        <n v="76299.0"/>
        <n v="89864.0"/>
        <n v="73110.0"/>
        <n v="55147.0"/>
        <n v="37938.0"/>
        <n v="112261.0"/>
        <n v="66740.0"/>
        <n v="23248.0"/>
        <n v="100334.0"/>
        <n v="115195.0"/>
        <n v="69989.0"/>
        <n v="98272.0"/>
        <n v="75306.0"/>
        <n v="92542.0"/>
        <n v="50108.0"/>
        <n v="109746.0"/>
        <n v="107091.0"/>
        <n v="51550.0"/>
        <n v="32423.0"/>
        <n v="104538.0"/>
        <n v="51515.0"/>
        <n v="62907.0"/>
        <n v="84824.0"/>
        <n v="56657.0"/>
        <n v="34796.0"/>
        <n v="81446.0"/>
        <n v="92923.0"/>
        <n v="95253.0"/>
        <n v="47361.0"/>
        <n v="99091.0"/>
        <n v="49902.0"/>
        <n v="84400.0"/>
        <n v="100495.0"/>
        <n v="81127.0"/>
        <n v="110544.0"/>
        <n v="109191.0"/>
        <n v="27409.0"/>
        <n v="97150.0"/>
        <n v="21763.0"/>
        <n v="58622.0"/>
        <n v="73090.0"/>
        <n v="74329.0"/>
        <n v="101170.0"/>
        <n v="25703.0"/>
        <n v="96787.0"/>
        <n v="83308.0"/>
        <n v="30155.0"/>
        <n v="71492.0"/>
        <n v="36738.0"/>
        <n v="24003.0"/>
        <n v="54929.0"/>
        <n v="33452.0"/>
        <n v="41096.0"/>
        <n v="113084.0"/>
        <n v="72102.0"/>
        <n v="54904.0"/>
        <n v="61758.0"/>
        <n v="107580.0"/>
        <n v="98774.0"/>
        <n v="68258.0"/>
        <n v="118237.0"/>
        <n v="28563.0"/>
        <n v="110351.0"/>
        <n v="98984.0"/>
        <n v="108861.0"/>
        <n v="77188.0"/>
        <n v="105813.0"/>
        <n v="107617.0"/>
        <n v="22479.0"/>
        <n v="54432.0"/>
        <n v="38361.0"/>
        <n v="31552.0"/>
        <n v="108939.0"/>
        <n v="96198.0"/>
        <n v="109517.0"/>
        <n v="115584.0"/>
        <n v="52456.0"/>
        <n v="50932.0"/>
        <n v="102850.0"/>
        <n v="87585.0"/>
        <n v="68902.0"/>
        <n v="88026.0"/>
        <n v="57958.0"/>
        <n v="83056.0"/>
        <n v="34228.0"/>
        <n v="47834.0"/>
        <n v="49992.0"/>
        <n v="37091.0"/>
        <n v="78861.0"/>
        <n v="64679.0"/>
        <n v="33142.0"/>
        <n v="93680.0"/>
        <n v="74393.0"/>
        <n v="86117.0"/>
        <n v="49172.0"/>
        <n v="82371.0"/>
        <n v="87865.0"/>
        <n v="52658.0"/>
        <n v="76684.0"/>
        <n v="41517.0"/>
        <n v="88757.0"/>
        <n v="31803.0"/>
        <n v="67908.0"/>
        <n v="38651.0"/>
        <n v="100382.0"/>
        <n v="60494.0"/>
        <n v="101767.0"/>
        <n v="23760.0"/>
        <n v="104710.0"/>
        <n v="71044.0"/>
        <n v="110221.0"/>
        <n v="72178.0"/>
        <n v="100635.0"/>
        <n v="35956.0"/>
        <n v="32350.0"/>
        <n v="110586.0"/>
        <n v="66035.0"/>
        <n v="102110.0"/>
        <n v="57379.0"/>
        <n v="54737.0"/>
        <n v="27485.0"/>
        <n v="36646.0"/>
        <n v="41102.0"/>
        <n v="89782.0"/>
        <n v="96997.0"/>
        <n v="100781.0"/>
        <n v="25922.0"/>
        <n v="117850.0"/>
        <n v="72150.0"/>
        <n v="30340.0"/>
        <n v="38129.0"/>
        <n v="23809.0"/>
        <n v="117510.0"/>
        <n v="76661.0"/>
        <n v="101659.0"/>
        <n v="103511.0"/>
        <n v="56302.0"/>
        <n v="35557.0"/>
        <n v="94275.0"/>
        <n v="54171.0"/>
        <n v="56853.0"/>
        <n v="47322.0"/>
        <n v="104600.0"/>
        <n v="91174.0"/>
        <n v="58667.0"/>
        <n v="20648.0"/>
        <n v="118841.0"/>
        <n v="52713.0"/>
        <n v="90034.0"/>
        <n v="27702.0"/>
        <n v="59702.0"/>
        <n v="26484.0"/>
        <n v="70483.0"/>
        <n v="23666.0"/>
        <n v="47353.0"/>
        <n v="109956.0"/>
        <n v="86969.0"/>
        <n v="34102.0"/>
        <n v="57292.0"/>
        <n v="76672.0"/>
        <n v="94271.0"/>
        <n v="101854.0"/>
        <n v="90071.0"/>
        <n v="110730.0"/>
        <n v="51167.0"/>
        <n v="74368.0"/>
        <n v="88859.0"/>
        <n v="20092.0"/>
        <n v="75221.0"/>
        <n v="67731.0"/>
        <n v="55963.0"/>
        <n v="76457.0"/>
        <n v="72016.0"/>
        <n v="95271.0"/>
        <n v="86561.0"/>
        <n v="51240.0"/>
        <n v="104017.0"/>
        <n v="115178.0"/>
        <n v="53699.0"/>
        <n v="101030.0"/>
        <n v="94285.0"/>
        <n v="64378.0"/>
        <n v="115633.0"/>
        <n v="84934.0"/>
        <n v="86501.0"/>
        <n v="88317.0"/>
        <n v="84638.0"/>
        <n v="40621.0"/>
        <n v="82148.0"/>
        <n v="30036.0"/>
        <n v="23639.0"/>
        <n v="81382.0"/>
        <n v="72471.0"/>
        <n v="78086.0"/>
        <n v="58316.0"/>
        <n v="58529.0"/>
        <n v="59292.0"/>
        <n v="98210.0"/>
        <n v="39726.0"/>
        <n v="75533.0"/>
        <n v="84155.0"/>
        <n v="70862.0"/>
        <n v="69192.0"/>
        <n v="67285.0"/>
        <n v="71942.0"/>
        <n v="88640.0"/>
        <n v="79813.0"/>
        <n v="110625.0"/>
        <n v="52842.0"/>
        <n v="68197.0"/>
        <n v="105304.0"/>
        <n v="85145.0"/>
        <n v="107909.0"/>
        <n v="93401.0"/>
        <n v="91535.0"/>
        <n v="109417.0"/>
        <n v="29694.0"/>
        <n v="115289.0"/>
        <n v="37234.0"/>
        <n v="78228.0"/>
        <n v="110181.0"/>
        <n v="83608.0"/>
        <n v="102915.0"/>
        <n v="82990.0"/>
        <n v="45686.0"/>
        <n v="45508.0"/>
        <n v="61945.0"/>
        <n v="61209.0"/>
        <n v="95026.0"/>
        <n v="106411.0"/>
        <n v="39493.0"/>
        <n v="68008.0"/>
        <n v="77841.0"/>
        <n v="56229.0"/>
        <n v="57435.0"/>
        <n v="48008.0"/>
        <n v="82918.0"/>
        <n v="64988.0"/>
        <n v="42084.0"/>
        <n v="101277.0"/>
        <n v="86638.0"/>
        <n v="114678.0"/>
        <n v="20143.0"/>
        <n v="90174.0"/>
        <n v="49404.0"/>
        <n v="51382.0"/>
      </sharedItems>
    </cacheField>
    <cacheField name="Location" numFmtId="0">
      <sharedItems>
        <s v="Bangalore"/>
        <s v="Hyderabad"/>
        <s v="Pune"/>
        <s v="Chennai"/>
        <s v="Mumbai"/>
        <s v="Delhi"/>
      </sharedItems>
    </cacheField>
    <cacheField name="Education" numFmtId="0">
      <sharedItems>
        <s v="Post Graduate"/>
        <s v="Diploma"/>
        <s v="Graduate"/>
      </sharedItems>
    </cacheField>
    <cacheField name="Attrition" numFmtId="0">
      <sharedItems>
        <s v="Yes"/>
        <s v="No"/>
      </sharedItems>
    </cacheField>
    <cacheField name="Performance_Rating" numFmtId="0">
      <sharedItems containsSemiMixedTypes="0" containsString="0" containsNumber="1" containsInteger="1">
        <n v="2.0"/>
        <n v="1.0"/>
        <n v="4.0"/>
        <n v="3.0"/>
        <n v="5.0"/>
      </sharedItems>
    </cacheField>
    <cacheField name="Joining_Date" numFmtId="164">
      <sharedItems containsSemiMixedTypes="0" containsDate="1" containsString="0">
        <d v="2020-07-24T00:00:00Z"/>
        <d v="2015-04-10T00:00:00Z"/>
        <d v="2019-04-07T00:00:00Z"/>
        <d v="2011-08-04T00:00:00Z"/>
        <d v="2016-02-25T00:00:00Z"/>
        <d v="2024-09-18T00:00:00Z"/>
        <d v="2016-11-21T00:00:00Z"/>
        <d v="2016-03-26T00:00:00Z"/>
        <d v="2015-02-17T00:00:00Z"/>
        <d v="2017-03-12T00:00:00Z"/>
        <d v="2016-05-14T00:00:00Z"/>
        <d v="2025-01-14T00:00:00Z"/>
        <d v="2023-02-02T00:00:00Z"/>
        <d v="2014-01-28T00:00:00Z"/>
        <d v="2020-12-26T00:00:00Z"/>
        <d v="2012-04-19T00:00:00Z"/>
        <d v="2014-02-22T00:00:00Z"/>
        <d v="2018-08-23T00:00:00Z"/>
        <d v="2014-03-27T00:00:00Z"/>
        <d v="2015-09-22T00:00:00Z"/>
        <d v="2021-08-27T00:00:00Z"/>
        <d v="2011-07-18T00:00:00Z"/>
        <d v="2024-11-19T00:00:00Z"/>
        <d v="2018-10-06T00:00:00Z"/>
        <d v="2018-04-15T00:00:00Z"/>
        <d v="2024-04-20T00:00:00Z"/>
        <d v="2013-05-06T00:00:00Z"/>
        <d v="2018-12-14T00:00:00Z"/>
        <d v="2021-02-12T00:00:00Z"/>
        <d v="2025-11-04T00:00:00Z"/>
        <d v="2023-10-12T00:00:00Z"/>
        <d v="2015-10-01T00:00:00Z"/>
        <d v="2014-02-23T00:00:00Z"/>
        <d v="2019-02-03T00:00:00Z"/>
        <d v="2024-02-13T00:00:00Z"/>
        <d v="2012-11-26T00:00:00Z"/>
        <d v="2014-06-18T00:00:00Z"/>
        <d v="2012-10-07T00:00:00Z"/>
        <d v="2012-03-11T00:00:00Z"/>
        <d v="2013-04-27T00:00:00Z"/>
        <d v="2017-04-13T00:00:00Z"/>
        <d v="2021-03-09T00:00:00Z"/>
        <d v="2022-05-26T00:00:00Z"/>
        <d v="2020-06-24T00:00:00Z"/>
        <d v="2014-08-16T00:00:00Z"/>
        <d v="2025-04-14T00:00:00Z"/>
        <d v="2025-11-20T00:00:00Z"/>
        <d v="2018-12-21T00:00:00Z"/>
        <d v="2019-11-09T00:00:00Z"/>
        <d v="2011-05-08T00:00:00Z"/>
        <d v="2014-06-20T00:00:00Z"/>
        <d v="2024-12-09T00:00:00Z"/>
        <d v="2020-04-03T00:00:00Z"/>
        <d v="2011-09-11T00:00:00Z"/>
        <d v="2016-07-25T00:00:00Z"/>
        <d v="2025-02-22T00:00:00Z"/>
        <d v="2025-12-01T00:00:00Z"/>
        <d v="2012-08-15T00:00:00Z"/>
        <d v="2013-04-25T00:00:00Z"/>
        <d v="2017-05-09T00:00:00Z"/>
        <d v="2018-04-06T00:00:00Z"/>
        <d v="2011-04-17T00:00:00Z"/>
        <d v="2026-03-06T00:00:00Z"/>
        <d v="2026-02-15T00:00:00Z"/>
        <d v="2014-01-06T00:00:00Z"/>
        <d v="2016-08-14T00:00:00Z"/>
        <d v="2017-12-27T00:00:00Z"/>
        <d v="2021-05-15T00:00:00Z"/>
        <d v="2026-06-09T00:00:00Z"/>
        <d v="2017-05-06T00:00:00Z"/>
        <d v="2025-01-27T00:00:00Z"/>
        <d v="2011-08-03T00:00:00Z"/>
        <d v="2017-09-12T00:00:00Z"/>
        <d v="2019-04-26T00:00:00Z"/>
        <d v="2022-04-07T00:00:00Z"/>
        <d v="2018-05-15T00:00:00Z"/>
        <d v="2020-12-15T00:00:00Z"/>
        <d v="2017-02-15T00:00:00Z"/>
        <d v="2012-05-25T00:00:00Z"/>
        <d v="2020-05-01T00:00:00Z"/>
        <d v="2012-12-27T00:00:00Z"/>
        <d v="2015-02-28T00:00:00Z"/>
        <d v="2015-05-01T00:00:00Z"/>
        <d v="2020-07-07T00:00:00Z"/>
        <d v="2013-09-26T00:00:00Z"/>
        <d v="2020-12-17T00:00:00Z"/>
        <d v="2024-06-02T00:00:00Z"/>
        <d v="2026-05-02T00:00:00Z"/>
        <d v="2016-12-12T00:00:00Z"/>
        <d v="2018-05-19T00:00:00Z"/>
        <d v="2016-11-19T00:00:00Z"/>
        <d v="2025-09-14T00:00:00Z"/>
        <d v="2023-12-18T00:00:00Z"/>
        <d v="2026-01-10T00:00:00Z"/>
        <d v="2017-05-07T00:00:00Z"/>
        <d v="2020-08-02T00:00:00Z"/>
        <d v="2012-01-01T00:00:00Z"/>
        <d v="2013-04-23T00:00:00Z"/>
        <d v="2025-07-04T00:00:00Z"/>
        <d v="2017-02-14T00:00:00Z"/>
        <d v="2015-11-13T00:00:00Z"/>
        <d v="2025-07-06T00:00:00Z"/>
        <d v="2018-01-02T00:00:00Z"/>
        <d v="2024-02-15T00:00:00Z"/>
        <d v="2011-02-03T00:00:00Z"/>
        <d v="2015-12-10T00:00:00Z"/>
        <d v="2013-11-24T00:00:00Z"/>
        <d v="2026-05-20T00:00:00Z"/>
        <d v="2019-06-06T00:00:00Z"/>
        <d v="2013-06-25T00:00:00Z"/>
        <d v="2016-10-17T00:00:00Z"/>
        <d v="2018-11-24T00:00:00Z"/>
        <d v="2013-11-11T00:00:00Z"/>
        <d v="2017-06-22T00:00:00Z"/>
        <d v="2014-04-07T00:00:00Z"/>
        <d v="2023-09-05T00:00:00Z"/>
        <d v="2025-07-27T00:00:00Z"/>
        <d v="2024-01-18T00:00:00Z"/>
        <d v="2021-12-02T00:00:00Z"/>
        <d v="2012-11-19T00:00:00Z"/>
        <d v="2019-02-10T00:00:00Z"/>
        <d v="2018-12-03T00:00:00Z"/>
        <d v="2012-09-11T00:00:00Z"/>
        <d v="2012-04-23T00:00:00Z"/>
        <d v="2023-06-04T00:00:00Z"/>
        <d v="2019-07-22T00:00:00Z"/>
        <d v="2018-03-28T00:00:00Z"/>
        <d v="2022-11-22T00:00:00Z"/>
        <d v="2016-02-12T00:00:00Z"/>
        <d v="2024-06-20T00:00:00Z"/>
        <d v="2026-05-10T00:00:00Z"/>
        <d v="2019-02-17T00:00:00Z"/>
        <d v="2024-07-26T00:00:00Z"/>
        <d v="2017-01-03T00:00:00Z"/>
        <d v="2022-10-17T00:00:00Z"/>
        <d v="2024-09-03T00:00:00Z"/>
        <d v="2012-05-12T00:00:00Z"/>
        <d v="2022-12-22T00:00:00Z"/>
        <d v="2015-05-17T00:00:00Z"/>
        <d v="2021-02-04T00:00:00Z"/>
        <d v="2020-06-10T00:00:00Z"/>
        <d v="2019-10-24T00:00:00Z"/>
        <d v="2012-08-17T00:00:00Z"/>
        <d v="2023-10-18T00:00:00Z"/>
        <d v="2025-06-02T00:00:00Z"/>
        <d v="2024-12-04T00:00:00Z"/>
        <d v="2020-03-20T00:00:00Z"/>
        <d v="2015-02-03T00:00:00Z"/>
        <d v="2014-02-04T00:00:00Z"/>
        <d v="2012-03-18T00:00:00Z"/>
        <d v="2021-05-28T00:00:00Z"/>
        <d v="2025-05-28T00:00:00Z"/>
        <d v="2020-09-11T00:00:00Z"/>
        <d v="2026-05-01T00:00:00Z"/>
        <d v="2026-10-11T00:00:00Z"/>
        <d v="2018-09-07T00:00:00Z"/>
        <d v="2021-07-24T00:00:00Z"/>
        <d v="2014-07-15T00:00:00Z"/>
        <d v="2015-02-04T00:00:00Z"/>
        <d v="2018-06-13T00:00:00Z"/>
        <d v="2025-03-06T00:00:00Z"/>
        <d v="2026-11-22T00:00:00Z"/>
        <d v="2019-12-15T00:00:00Z"/>
        <d v="2017-11-02T00:00:00Z"/>
        <d v="2018-11-13T00:00:00Z"/>
        <d v="2014-06-25T00:00:00Z"/>
        <d v="2023-10-17T00:00:00Z"/>
        <d v="2019-09-26T00:00:00Z"/>
        <d v="2019-11-26T00:00:00Z"/>
        <d v="2026-04-17T00:00:00Z"/>
        <d v="2025-10-01T00:00:00Z"/>
        <d v="2016-05-07T00:00:00Z"/>
        <d v="2015-11-20T00:00:00Z"/>
        <d v="2011-05-28T00:00:00Z"/>
        <d v="2017-08-18T00:00:00Z"/>
        <d v="2019-07-11T00:00:00Z"/>
        <d v="2020-10-24T00:00:00Z"/>
        <d v="2021-07-27T00:00:00Z"/>
        <d v="2020-11-06T00:00:00Z"/>
        <d v="2019-09-20T00:00:00Z"/>
        <d v="2013-07-09T00:00:00Z"/>
        <d v="2014-08-09T00:00:00Z"/>
        <d v="2022-10-06T00:00:00Z"/>
        <d v="2023-10-10T00:00:00Z"/>
        <d v="2014-10-20T00:00:00Z"/>
        <d v="2015-05-04T00:00:00Z"/>
        <d v="2017-06-10T00:00:00Z"/>
        <d v="2023-06-07T00:00:00Z"/>
        <d v="2013-03-22T00:00:00Z"/>
        <d v="2024-10-13T00:00:00Z"/>
        <d v="2018-08-11T00:00:00Z"/>
        <d v="2022-10-04T00:00:00Z"/>
        <d v="2019-09-24T00:00:00Z"/>
        <d v="2013-10-10T00:00:00Z"/>
        <d v="2020-08-16T00:00:00Z"/>
        <d v="2015-10-02T00:00:00Z"/>
        <d v="2021-10-19T00:00:00Z"/>
        <d v="2023-09-12T00:00:00Z"/>
        <d v="2019-08-20T00:00:00Z"/>
        <d v="2017-08-25T00:00:00Z"/>
        <d v="2011-03-27T00:00:00Z"/>
        <d v="2020-12-08T00:00:00Z"/>
        <d v="2023-04-25T00:00:00Z"/>
        <d v="2023-12-22T00:00:00Z"/>
        <d v="2025-07-01T00:00:00Z"/>
        <d v="2015-05-07T00:00:00Z"/>
        <d v="2019-11-01T00:00:00Z"/>
        <d v="2025-02-06T00:00:00Z"/>
        <d v="2025-12-14T00:00:00Z"/>
        <d v="2023-10-16T00:00:00Z"/>
        <d v="2015-06-25T00:00:00Z"/>
        <d v="2016-08-19T00:00:00Z"/>
        <d v="2026-03-07T00:00:00Z"/>
        <d v="2019-06-18T00:00:00Z"/>
        <d v="2018-06-08T00:00:00Z"/>
        <d v="2023-09-23T00:00:00Z"/>
        <d v="2012-12-19T00:00:00Z"/>
        <d v="2025-09-13T00:00:00Z"/>
        <d v="2015-02-22T00:00:00Z"/>
        <d v="2022-04-24T00:00:00Z"/>
        <d v="2013-06-24T00:00:00Z"/>
        <d v="2013-01-18T00:00:00Z"/>
        <d v="2022-03-10T00:00:00Z"/>
        <d v="2019-01-17T00:00:00Z"/>
        <d v="2019-02-08T00:00:00Z"/>
        <d v="2024-03-26T00:00:00Z"/>
        <d v="2017-08-06T00:00:00Z"/>
        <d v="2025-09-11T00:00:00Z"/>
        <d v="2024-04-05T00:00:00Z"/>
        <d v="2013-02-12T00:00:00Z"/>
        <d v="2016-07-14T00:00:00Z"/>
        <d v="2016-09-13T00:00:00Z"/>
        <d v="2011-12-01T00:00:00Z"/>
        <d v="2017-03-14T00:00:00Z"/>
        <d v="2019-05-14T00:00:00Z"/>
        <d v="2012-04-04T00:00:00Z"/>
        <d v="2022-11-02T00:00:00Z"/>
        <d v="2019-04-27T00:00:00Z"/>
        <d v="2016-05-08T00:00:00Z"/>
        <d v="2023-06-11T00:00:00Z"/>
        <d v="2018-07-23T00:00:00Z"/>
        <d v="2017-08-14T00:00:00Z"/>
        <d v="2016-04-17T00:00:00Z"/>
        <d v="2024-05-25T00:00:00Z"/>
        <d v="2025-04-02T00:00:00Z"/>
        <d v="2026-01-22T00:00:00Z"/>
        <d v="2014-10-07T00:00:00Z"/>
        <d v="2018-12-25T00:00:00Z"/>
        <d v="2011-02-05T00:00:00Z"/>
        <d v="2026-12-25T00:00:00Z"/>
        <d v="2021-05-26T00:00:00Z"/>
        <d v="2020-08-10T00:00:00Z"/>
        <d v="2022-05-27T00:00:00Z"/>
        <d v="2015-01-25T00:00:00Z"/>
        <d v="2017-07-27T00:00:00Z"/>
        <d v="2016-05-24T00:00:00Z"/>
        <d v="2012-01-08T00:00:00Z"/>
        <d v="2012-12-20T00:00:00Z"/>
        <d v="2013-03-06T00:00:00Z"/>
        <d v="2016-12-26T00:00:00Z"/>
        <d v="2012-03-19T00:00:00Z"/>
        <d v="2019-09-06T00:00:00Z"/>
        <d v="2025-01-24T00:00:00Z"/>
        <d v="2011-12-02T00:00:00Z"/>
        <d v="2023-05-27T00:00:00Z"/>
        <d v="2023-06-28T00:00:00Z"/>
        <d v="2011-01-19T00:00:00Z"/>
        <d v="2018-12-20T00:00:00Z"/>
        <d v="2016-12-22T00:00:00Z"/>
        <d v="2012-04-10T00:00:00Z"/>
        <d v="2022-11-11T00:00:00Z"/>
        <d v="2020-07-05T00:00:00Z"/>
        <d v="2023-08-26T00:00:00Z"/>
        <d v="2018-04-11T00:00:00Z"/>
        <d v="2020-03-23T00:00:00Z"/>
        <d v="2020-06-06T00:00:00Z"/>
        <d v="2013-11-08T00:00:00Z"/>
        <d v="2014-03-01T00:00:00Z"/>
        <d v="2026-08-25T00:00:00Z"/>
        <d v="2018-01-06T00:00:00Z"/>
        <d v="2016-01-13T00:00:00Z"/>
        <d v="2026-09-06T00:00:00Z"/>
        <d v="2011-04-04T00:00:00Z"/>
        <d v="2019-07-23T00:00:00Z"/>
        <d v="2020-07-25T00:00:00Z"/>
        <d v="2024-10-04T00:00:00Z"/>
        <d v="2025-06-11T00:00:00Z"/>
        <d v="2026-04-02T00:00:00Z"/>
        <d v="2021-01-04T00:00:00Z"/>
        <d v="2020-10-28T00:00:00Z"/>
        <d v="2018-06-07T00:00:00Z"/>
        <d v="2011-01-14T00:00:00Z"/>
        <d v="2025-07-18T00:00:00Z"/>
        <d v="2019-01-10T00:00:00Z"/>
        <d v="2020-05-02T00:00:00Z"/>
        <d v="2018-02-15T00:00:00Z"/>
        <d v="2025-08-27T00:00:00Z"/>
        <d v="2022-03-27T00:00:00Z"/>
        <d v="2012-09-16T00:00:00Z"/>
        <d v="2022-01-15T00:00:00Z"/>
        <d v="2017-02-08T00:00:00Z"/>
        <d v="2015-11-19T00:00:00Z"/>
        <d v="2012-01-19T00:00:00Z"/>
        <d v="2022-12-21T00:00:00Z"/>
        <d v="2026-01-21T00:00:00Z"/>
        <d v="2012-05-13T00:00:00Z"/>
        <d v="2018-12-18T00:00:00Z"/>
        <d v="2019-11-22T00:00:00Z"/>
        <d v="2024-08-25T00:00:00Z"/>
        <d v="2025-11-15T00:00:00Z"/>
        <d v="2014-07-12T00:00:00Z"/>
        <d v="2024-11-08T00:00:00Z"/>
        <d v="2025-07-23T00:00:00Z"/>
        <d v="2020-04-27T00:00:00Z"/>
        <d v="2013-08-10T00:00:00Z"/>
        <d v="2011-11-03T00:00:00Z"/>
        <d v="2014-02-28T00:00:00Z"/>
        <d v="2011-10-03T00:00:00Z"/>
        <d v="2020-10-12T00:00:00Z"/>
        <d v="2012-07-24T00:00:00Z"/>
        <d v="2021-02-11T00:00:00Z"/>
        <d v="2014-11-05T00:00:00Z"/>
        <d v="2014-05-01T00:00:00Z"/>
        <d v="2026-02-14T00:00:00Z"/>
        <d v="2021-12-09T00:00:00Z"/>
        <d v="2014-03-15T00:00:00Z"/>
        <d v="2018-05-18T00:00:00Z"/>
        <d v="2011-12-09T00:00:00Z"/>
        <d v="2022-11-23T00:00:00Z"/>
        <d v="2017-03-23T00:00:00Z"/>
        <d v="2023-12-02T00:00:00Z"/>
        <d v="2023-12-21T00:00:00Z"/>
        <d v="2015-06-20T00:00:00Z"/>
        <d v="2018-08-27T00:00:00Z"/>
        <d v="2023-03-26T00:00:00Z"/>
        <d v="2026-09-16T00:00:00Z"/>
        <d v="2024-03-09T00:00:00Z"/>
        <d v="2020-02-27T00:00:00Z"/>
        <d v="2012-12-26T00:00:00Z"/>
        <d v="2026-07-02T00:00:00Z"/>
        <d v="2026-03-12T00:00:00Z"/>
        <d v="2022-11-25T00:00:00Z"/>
        <d v="2023-05-28T00:00:00Z"/>
        <d v="2014-08-20T00:00:00Z"/>
        <d v="2018-02-08T00:00:00Z"/>
        <d v="2022-02-10T00:00:00Z"/>
        <d v="2015-08-06T00:00:00Z"/>
        <d v="2015-10-06T00:00:00Z"/>
        <d v="2025-02-08T00:00:00Z"/>
        <d v="2014-05-28T00:00:00Z"/>
        <d v="2017-03-28T00:00:00Z"/>
        <d v="2024-08-22T00:00:00Z"/>
        <d v="2019-07-05T00:00:00Z"/>
        <d v="2012-02-05T00:00:00Z"/>
        <d v="2025-06-16T00:00:00Z"/>
        <d v="2024-10-22T00:00:00Z"/>
        <d v="2014-11-07T00:00:00Z"/>
        <d v="2025-07-09T00:00:00Z"/>
        <d v="2018-06-16T00:00:00Z"/>
        <d v="2016-03-24T00:00:00Z"/>
        <d v="2018-04-24T00:00:00Z"/>
        <d v="2017-04-28T00:00:00Z"/>
        <d v="2017-02-18T00:00:00Z"/>
        <d v="2025-03-12T00:00:00Z"/>
        <d v="2011-02-20T00:00:00Z"/>
        <d v="2022-01-24T00:00:00Z"/>
        <d v="2014-12-08T00:00:00Z"/>
        <d v="2019-04-04T00:00:00Z"/>
        <d v="2019-07-24T00:00:00Z"/>
        <d v="2018-02-14T00:00:00Z"/>
        <d v="2023-01-18T00:00:00Z"/>
        <d v="2026-12-22T00:00:00Z"/>
        <d v="2022-01-21T00:00:00Z"/>
        <d v="2016-04-22T00:00:00Z"/>
        <d v="2025-07-07T00:00:00Z"/>
        <d v="2015-11-01T00:00:00Z"/>
        <d v="2025-10-03T00:00:00Z"/>
        <d v="2024-08-28T00:00:00Z"/>
        <d v="2017-02-24T00:00:00Z"/>
        <d v="2012-03-13T00:00:00Z"/>
        <d v="2013-05-14T00:00:00Z"/>
        <d v="2016-06-25T00:00:00Z"/>
        <d v="2024-09-04T00:00:00Z"/>
        <d v="2021-07-02T00:00:00Z"/>
        <d v="2021-09-18T00:00:00Z"/>
        <d v="2019-11-18T00:00:00Z"/>
        <d v="2014-09-04T00:00:00Z"/>
        <d v="2011-10-15T00:00:00Z"/>
        <d v="2020-03-11T00:00:00Z"/>
        <d v="2019-03-08T00:00:00Z"/>
        <d v="2024-08-15T00:00:00Z"/>
        <d v="2016-07-12T00:00:00Z"/>
        <d v="2011-05-06T00:00:00Z"/>
        <d v="2024-03-04T00:00:00Z"/>
        <d v="2026-04-22T00:00:00Z"/>
        <d v="2026-05-24T00:00:00Z"/>
        <d v="2022-11-05T00:00:00Z"/>
        <d v="2013-06-02T00:00:00Z"/>
        <d v="2024-03-03T00:00:00Z"/>
        <d v="2023-09-04T00:00:00Z"/>
        <d v="2021-06-24T00:00:00Z"/>
        <d v="2023-12-15T00:00:00Z"/>
        <d v="2021-07-26T00:00:00Z"/>
        <d v="2011-04-10T00:00:00Z"/>
        <d v="2011-02-07T00:00:00Z"/>
        <d v="2018-06-05T00:00:00Z"/>
        <d v="2011-04-06T00:00:00Z"/>
        <d v="2016-12-04T00:00:00Z"/>
        <d v="2012-02-22T00:00:00Z"/>
        <d v="2015-11-17T00:00:00Z"/>
        <d v="2019-12-03T00:00:00Z"/>
        <d v="2022-09-23T00:00:00Z"/>
        <d v="2017-04-17T00:00:00Z"/>
        <d v="2025-11-13T00:00:00Z"/>
        <d v="2012-01-16T00:00:00Z"/>
        <d v="2020-09-03T00:00:00Z"/>
        <d v="2013-01-28T00:00:00Z"/>
        <d v="2012-12-22T00:00:00Z"/>
        <d v="2013-12-16T00:00:00Z"/>
        <d v="2015-07-24T00:00:00Z"/>
        <d v="2021-12-14T00:00:00Z"/>
        <d v="2022-04-26T00:00:00Z"/>
        <d v="2019-07-12T00:00:00Z"/>
        <d v="2020-04-02T00:00:00Z"/>
        <d v="2012-11-23T00:00:00Z"/>
        <d v="2013-03-15T00:00:00Z"/>
        <d v="2020-05-26T00:00:00Z"/>
        <d v="2017-02-04T00:00:00Z"/>
        <d v="2018-02-26T00:00:00Z"/>
        <d v="2017-11-27T00:00:00Z"/>
        <d v="2022-09-26T00:00:00Z"/>
        <d v="2011-08-08T00:00:00Z"/>
        <d v="2019-07-14T00:00:00Z"/>
        <d v="2020-09-20T00:00:00Z"/>
        <d v="2024-03-02T00:00:00Z"/>
        <d v="2019-05-10T00:00:00Z"/>
        <d v="2019-02-19T00:00:00Z"/>
        <d v="2026-06-21T00:00:00Z"/>
        <d v="2024-11-12T00:00:00Z"/>
        <d v="2023-08-25T00:00:00Z"/>
        <d v="2012-03-27T00:00:00Z"/>
        <d v="2011-09-16T00:00:00Z"/>
        <d v="2012-08-18T00:00:00Z"/>
        <d v="2021-07-12T00:00:00Z"/>
        <d v="2017-11-21T00:00:00Z"/>
        <d v="2022-06-17T00:00:00Z"/>
        <d v="2015-09-01T00:00:00Z"/>
        <d v="2024-05-10T00:00:00Z"/>
        <d v="2013-09-05T00:00:00Z"/>
        <d v="2023-02-21T00:00:00Z"/>
        <d v="2024-02-28T00:00:00Z"/>
        <d v="2024-06-01T00:00:00Z"/>
        <d v="2022-01-05T00:00:00Z"/>
        <d v="2020-01-25T00:00:00Z"/>
        <d v="2019-11-28T00:00:00Z"/>
        <d v="2020-03-08T00:00:00Z"/>
        <d v="2020-08-26T00:00:00Z"/>
        <d v="2019-07-28T00:00:00Z"/>
        <d v="2020-08-18T00:00:00Z"/>
        <d v="2019-05-15T00:00:00Z"/>
        <d v="2014-08-19T00:00:00Z"/>
        <d v="2025-02-23T00:00:00Z"/>
        <d v="2018-11-23T00:00:00Z"/>
        <d v="2012-04-17T00:00:00Z"/>
        <d v="2019-08-14T00:00:00Z"/>
        <d v="2011-08-15T00:00:00Z"/>
        <d v="2013-06-03T00:00:00Z"/>
        <d v="2025-01-09T00:00:00Z"/>
      </sharedItems>
    </cacheField>
    <cacheField name="Month" numFmtId="0">
      <sharedItems containsSemiMixedTypes="0" containsString="0" containsNumber="1" containsInteger="1">
        <n v="7.0"/>
        <n v="4.0"/>
        <n v="8.0"/>
        <n v="2.0"/>
        <n v="9.0"/>
        <n v="11.0"/>
        <n v="3.0"/>
        <n v="5.0"/>
        <n v="1.0"/>
        <n v="12.0"/>
        <n v="10.0"/>
        <n v="6.0"/>
      </sharedItems>
    </cacheField>
    <cacheField name="Year" numFmtId="0">
      <sharedItems containsSemiMixedTypes="0" containsString="0" containsNumber="1" containsInteger="1">
        <n v="2020.0"/>
        <n v="2015.0"/>
        <n v="2019.0"/>
        <n v="2011.0"/>
        <n v="2016.0"/>
        <n v="2024.0"/>
        <n v="2017.0"/>
        <n v="2025.0"/>
        <n v="2023.0"/>
        <n v="2014.0"/>
        <n v="2012.0"/>
        <n v="2018.0"/>
        <n v="2021.0"/>
        <n v="2013.0"/>
        <n v="2022.0"/>
        <n v="2026.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501" sheet="hr_analytics_500_rows"/>
  </cacheSource>
  <cacheFields>
    <cacheField name="Employee_ID"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n v="341.0"/>
        <n v="342.0"/>
        <n v="343.0"/>
        <n v="344.0"/>
        <n v="345.0"/>
        <n v="346.0"/>
        <n v="347.0"/>
        <n v="348.0"/>
        <n v="349.0"/>
        <n v="350.0"/>
        <n v="351.0"/>
        <n v="352.0"/>
        <n v="353.0"/>
        <n v="354.0"/>
        <n v="355.0"/>
        <n v="356.0"/>
        <n v="357.0"/>
        <n v="358.0"/>
        <n v="359.0"/>
        <n v="360.0"/>
        <n v="361.0"/>
        <n v="362.0"/>
        <n v="363.0"/>
        <n v="364.0"/>
        <n v="365.0"/>
        <n v="366.0"/>
        <n v="367.0"/>
        <n v="368.0"/>
        <n v="369.0"/>
        <n v="370.0"/>
        <n v="371.0"/>
        <n v="372.0"/>
        <n v="373.0"/>
        <n v="374.0"/>
        <n v="375.0"/>
        <n v="376.0"/>
        <n v="377.0"/>
        <n v="378.0"/>
        <n v="379.0"/>
        <n v="380.0"/>
        <n v="381.0"/>
        <n v="382.0"/>
        <n v="383.0"/>
        <n v="384.0"/>
        <n v="385.0"/>
        <n v="386.0"/>
        <n v="387.0"/>
        <n v="388.0"/>
        <n v="389.0"/>
        <n v="390.0"/>
        <n v="391.0"/>
        <n v="392.0"/>
        <n v="393.0"/>
        <n v="394.0"/>
        <n v="395.0"/>
        <n v="396.0"/>
        <n v="397.0"/>
        <n v="398.0"/>
        <n v="399.0"/>
        <n v="400.0"/>
        <n v="401.0"/>
        <n v="402.0"/>
        <n v="403.0"/>
        <n v="404.0"/>
        <n v="405.0"/>
        <n v="406.0"/>
        <n v="407.0"/>
        <n v="408.0"/>
        <n v="409.0"/>
        <n v="410.0"/>
        <n v="411.0"/>
        <n v="412.0"/>
        <n v="413.0"/>
        <n v="414.0"/>
        <n v="415.0"/>
        <n v="416.0"/>
        <n v="417.0"/>
        <n v="418.0"/>
        <n v="419.0"/>
        <n v="420.0"/>
        <n v="421.0"/>
        <n v="422.0"/>
        <n v="423.0"/>
        <n v="424.0"/>
        <n v="425.0"/>
        <n v="426.0"/>
        <n v="427.0"/>
        <n v="428.0"/>
        <n v="429.0"/>
        <n v="430.0"/>
        <n v="431.0"/>
        <n v="432.0"/>
        <n v="433.0"/>
        <n v="434.0"/>
        <n v="435.0"/>
        <n v="436.0"/>
        <n v="437.0"/>
        <n v="438.0"/>
        <n v="439.0"/>
        <n v="440.0"/>
        <n v="441.0"/>
        <n v="442.0"/>
        <n v="443.0"/>
        <n v="444.0"/>
        <n v="445.0"/>
        <n v="446.0"/>
        <n v="447.0"/>
        <n v="448.0"/>
        <n v="449.0"/>
        <n v="450.0"/>
        <n v="451.0"/>
        <n v="452.0"/>
        <n v="453.0"/>
        <n v="454.0"/>
        <n v="455.0"/>
        <n v="456.0"/>
        <n v="457.0"/>
        <n v="458.0"/>
        <n v="459.0"/>
        <n v="460.0"/>
        <n v="461.0"/>
        <n v="462.0"/>
        <n v="463.0"/>
        <n v="464.0"/>
        <n v="465.0"/>
        <n v="466.0"/>
        <n v="467.0"/>
        <n v="468.0"/>
        <n v="469.0"/>
        <n v="470.0"/>
        <n v="471.0"/>
        <n v="472.0"/>
        <n v="473.0"/>
        <n v="474.0"/>
        <n v="475.0"/>
        <n v="476.0"/>
        <n v="477.0"/>
        <n v="478.0"/>
        <n v="479.0"/>
        <n v="480.0"/>
        <n v="481.0"/>
        <n v="482.0"/>
        <n v="483.0"/>
        <n v="484.0"/>
        <n v="485.0"/>
        <n v="486.0"/>
        <n v="487.0"/>
        <n v="488.0"/>
        <n v="489.0"/>
        <n v="490.0"/>
        <n v="491.0"/>
        <n v="492.0"/>
        <n v="493.0"/>
        <n v="494.0"/>
        <n v="495.0"/>
        <n v="496.0"/>
        <n v="497.0"/>
        <n v="498.0"/>
        <n v="499.0"/>
        <n v="500.0"/>
      </sharedItems>
    </cacheField>
    <cacheField name="Name" numFmtId="0">
      <sharedItems>
        <s v="Shaurya Patel"/>
        <s v="Sai Sharma"/>
        <s v="Reyansh Sharma"/>
        <s v="Pari Patel"/>
        <s v="Aarav Singh"/>
        <s v="Arjun Singh"/>
        <s v="Saanvi Singh"/>
        <s v="Anika Nair"/>
        <s v="Saanvi Patel"/>
        <s v="Diya Patel"/>
        <s v="Ira Sharma"/>
        <s v="Sara Sharma"/>
        <s v="Pari Sharma"/>
        <s v="Ananya Nair"/>
        <s v="Pari Nair"/>
        <s v="Myra Patel"/>
        <s v="Sai Khan"/>
        <s v="Sara Khan"/>
        <s v="Vivaan Sharma"/>
        <s v="Saanvi Nair"/>
        <s v="Navya Patel"/>
        <s v="Reyansh Patel"/>
        <s v="Vihaan Khan"/>
        <s v="Myra Sharma"/>
        <s v="Aarav Sharma"/>
        <s v="Diya Khan"/>
        <s v="Sai Nair"/>
        <s v="Shaurya Nair"/>
        <s v="Aadhya Nair"/>
        <s v="Ira Khan"/>
        <s v="Vihaan Sharma"/>
        <s v="Aditya Patel"/>
        <s v="Aadhya Patel"/>
        <s v="Ira Nair"/>
        <s v="Vivaan Patel"/>
        <s v="Krishna Singh"/>
        <s v="Krishna Khan"/>
        <s v="Shaurya Sharma"/>
        <s v="Vihaan Singh"/>
        <s v="Ira Singh"/>
        <s v="Aarav Khan"/>
        <s v="Shaurya Singh"/>
        <s v="Aadhya Singh"/>
        <s v="Arjun Patel"/>
        <s v="Vivaan Nair"/>
        <s v="Ishaan Khan"/>
        <s v="Saanvi Khan"/>
        <s v="Anika Khan"/>
        <s v="Shaurya Khan"/>
        <s v="Ananya Patel"/>
        <s v="Krishna Nair"/>
        <s v="Arjun Nair"/>
        <s v="Ishaan Singh"/>
        <s v="Vivaan Singh"/>
        <s v="Pari Khan"/>
        <s v="Krishna Patel"/>
        <s v="Reyansh Nair"/>
        <s v="Diya Nair"/>
        <s v="Ishaan Patel"/>
        <s v="Aditya Singh"/>
        <s v="Sai Patel"/>
        <s v="Diya Sharma"/>
        <s v="Reyansh Khan"/>
        <s v="Vihaan Nair"/>
        <s v="Reyansh Singh"/>
        <s v="Ananya Singh"/>
        <s v="Sara Nair"/>
        <s v="Aditya Sharma"/>
        <s v="Sai Singh"/>
        <s v="Myra Nair"/>
        <s v="Pari Singh"/>
        <s v="Vihaan Patel"/>
        <s v="Myra Khan"/>
        <s v="Diya Singh"/>
        <s v="Aditya Khan"/>
        <s v="Ananya Khan"/>
        <s v="Sara Patel"/>
        <s v="Aditya Nair"/>
        <s v="Saanvi Sharma"/>
        <s v="Myra Singh"/>
        <s v="Arjun Khan"/>
        <s v="Ishaan Nair"/>
        <s v="Navya Sharma"/>
        <s v="Navya Singh"/>
        <s v="Vivaan Khan"/>
        <s v="Navya Khan"/>
        <s v="Krishna Sharma"/>
        <s v="Aarav Patel"/>
        <s v="Sara Singh"/>
        <s v="Anika Patel"/>
        <s v="Ira Patel"/>
        <s v="Arjun Sharma"/>
        <s v="Aadhya Sharma"/>
        <s v="Aarav Nair"/>
        <s v="Ishaan Sharma"/>
        <s v="Ananya Sharma"/>
        <s v="Aadhya Khan"/>
        <s v="Navya Nair"/>
        <s v="Anika Singh"/>
        <s v="Anika Sharma"/>
      </sharedItems>
    </cacheField>
    <cacheField name="Age" numFmtId="0">
      <sharedItems containsSemiMixedTypes="0" containsString="0" containsNumber="1" containsInteger="1">
        <n v="40.0"/>
        <n v="60.0"/>
        <n v="37.0"/>
        <n v="42.0"/>
        <n v="53.0"/>
        <n v="45.0"/>
        <n v="56.0"/>
        <n v="27.0"/>
        <n v="57.0"/>
        <n v="24.0"/>
        <n v="36.0"/>
        <n v="59.0"/>
        <n v="34.0"/>
        <n v="41.0"/>
        <n v="49.0"/>
        <n v="28.0"/>
        <n v="48.0"/>
        <n v="55.0"/>
        <n v="51.0"/>
        <n v="23.0"/>
        <n v="54.0"/>
        <n v="30.0"/>
        <n v="25.0"/>
        <n v="31.0"/>
        <n v="50.0"/>
        <n v="43.0"/>
        <n v="26.0"/>
        <n v="47.0"/>
        <n v="44.0"/>
        <n v="21.0"/>
        <n v="38.0"/>
        <n v="39.0"/>
        <n v="22.0"/>
        <n v="33.0"/>
        <n v="29.0"/>
        <n v="52.0"/>
        <n v="46.0"/>
        <n v="35.0"/>
        <n v="58.0"/>
        <n v="32.0"/>
      </sharedItems>
    </cacheField>
    <cacheField name="Gender" numFmtId="0">
      <sharedItems>
        <s v="Female"/>
        <s v="Male"/>
      </sharedItems>
    </cacheField>
    <cacheField name="Department" numFmtId="0">
      <sharedItems>
        <s v="Marketing"/>
        <s v="IT"/>
        <s v="Operations"/>
        <s v="Finance"/>
        <s v="HR"/>
        <s v="Sales"/>
      </sharedItems>
    </cacheField>
    <cacheField name="Job_Role" numFmtId="0">
      <sharedItems>
        <s v="Manager"/>
        <s v="Associate"/>
        <s v="Analyst"/>
        <s v="Team Lead"/>
        <s v="Executive"/>
      </sharedItems>
    </cacheField>
    <cacheField name="Experience_Years" numFmtId="0">
      <sharedItems containsSemiMixedTypes="0" containsString="0" containsNumber="1" containsInteger="1">
        <n v="6.0"/>
        <n v="11.0"/>
        <n v="7.0"/>
        <n v="15.0"/>
        <n v="10.0"/>
        <n v="2.0"/>
        <n v="9.0"/>
        <n v="1.0"/>
        <n v="3.0"/>
        <n v="12.0"/>
        <n v="14.0"/>
        <n v="8.0"/>
        <n v="5.0"/>
        <n v="13.0"/>
        <n v="4.0"/>
        <n v="0.0"/>
      </sharedItems>
    </cacheField>
    <cacheField name="Salary" numFmtId="0">
      <sharedItems containsSemiMixedTypes="0" containsString="0" containsNumber="1" containsInteger="1">
        <n v="36968.0"/>
        <n v="36249.0"/>
        <n v="85099.0"/>
        <n v="107875.0"/>
        <n v="37482.0"/>
        <n v="61982.0"/>
        <n v="107728.0"/>
        <n v="86757.0"/>
        <n v="100034.0"/>
        <n v="60448.0"/>
        <n v="42104.0"/>
        <n v="82905.0"/>
        <n v="109052.0"/>
        <n v="53731.0"/>
        <n v="64795.0"/>
        <n v="90005.0"/>
        <n v="36631.0"/>
        <n v="31832.0"/>
        <n v="72364.0"/>
        <n v="72005.0"/>
        <n v="78070.0"/>
        <n v="50542.0"/>
        <n v="75213.0"/>
        <n v="35996.0"/>
        <n v="45024.0"/>
        <n v="73145.0"/>
        <n v="45788.0"/>
        <n v="64379.0"/>
        <n v="88644.0"/>
        <n v="110968.0"/>
        <n v="100516.0"/>
        <n v="25564.0"/>
        <n v="107523.0"/>
        <n v="106102.0"/>
        <n v="58776.0"/>
        <n v="85721.0"/>
        <n v="118456.0"/>
        <n v="112403.0"/>
        <n v="59300.0"/>
        <n v="40770.0"/>
        <n v="33203.0"/>
        <n v="99536.0"/>
        <n v="68698.0"/>
        <n v="105950.0"/>
        <n v="90503.0"/>
        <n v="56895.0"/>
        <n v="118464.0"/>
        <n v="116632.0"/>
        <n v="22193.0"/>
        <n v="79671.0"/>
        <n v="86758.0"/>
        <n v="42120.0"/>
        <n v="67434.0"/>
        <n v="74713.0"/>
        <n v="78281.0"/>
        <n v="94760.0"/>
        <n v="77041.0"/>
        <n v="62632.0"/>
        <n v="91153.0"/>
        <n v="117710.0"/>
        <n v="85584.0"/>
        <n v="20474.0"/>
        <n v="102377.0"/>
        <n v="86677.0"/>
        <n v="49861.0"/>
        <n v="60106.0"/>
        <n v="78134.0"/>
        <n v="80904.0"/>
        <n v="24511.0"/>
        <n v="102841.0"/>
        <n v="28317.0"/>
        <n v="45890.0"/>
        <n v="44314.0"/>
        <n v="90538.0"/>
        <n v="114042.0"/>
        <n v="34260.0"/>
        <n v="109265.0"/>
        <n v="52697.0"/>
        <n v="73419.0"/>
        <n v="96179.0"/>
        <n v="27120.0"/>
        <n v="112924.0"/>
        <n v="114747.0"/>
        <n v="26328.0"/>
        <n v="69820.0"/>
        <n v="38177.0"/>
        <n v="84166.0"/>
        <n v="21683.0"/>
        <n v="40919.0"/>
        <n v="34667.0"/>
        <n v="58156.0"/>
        <n v="54627.0"/>
        <n v="103370.0"/>
        <n v="38571.0"/>
        <n v="46217.0"/>
        <n v="38017.0"/>
        <n v="99161.0"/>
        <n v="105902.0"/>
        <n v="64348.0"/>
        <n v="90650.0"/>
        <n v="32455.0"/>
        <n v="57369.0"/>
        <n v="34384.0"/>
        <n v="114863.0"/>
        <n v="117659.0"/>
        <n v="21162.0"/>
        <n v="43556.0"/>
        <n v="115031.0"/>
        <n v="39509.0"/>
        <n v="23422.0"/>
        <n v="48853.0"/>
        <n v="76111.0"/>
        <n v="79482.0"/>
        <n v="47737.0"/>
        <n v="63010.0"/>
        <n v="40072.0"/>
        <n v="97227.0"/>
        <n v="37772.0"/>
        <n v="50382.0"/>
        <n v="88184.0"/>
        <n v="62410.0"/>
        <n v="59910.0"/>
        <n v="29847.0"/>
        <n v="32072.0"/>
        <n v="35683.0"/>
        <n v="116691.0"/>
        <n v="84897.0"/>
        <n v="109990.0"/>
        <n v="40047.0"/>
        <n v="35031.0"/>
        <n v="93840.0"/>
        <n v="37196.0"/>
        <n v="46508.0"/>
        <n v="42223.0"/>
        <n v="102701.0"/>
        <n v="62191.0"/>
        <n v="34560.0"/>
        <n v="35818.0"/>
        <n v="32861.0"/>
        <n v="97889.0"/>
        <n v="56631.0"/>
        <n v="82099.0"/>
        <n v="119349.0"/>
        <n v="26845.0"/>
        <n v="79079.0"/>
        <n v="45966.0"/>
        <n v="102890.0"/>
        <n v="109314.0"/>
        <n v="34550.0"/>
        <n v="72019.0"/>
        <n v="29652.0"/>
        <n v="118753.0"/>
        <n v="93834.0"/>
        <n v="112252.0"/>
        <n v="67800.0"/>
        <n v="47169.0"/>
        <n v="20041.0"/>
        <n v="61740.0"/>
        <n v="94994.0"/>
        <n v="23434.0"/>
        <n v="104226.0"/>
        <n v="39764.0"/>
        <n v="75806.0"/>
        <n v="71124.0"/>
        <n v="98741.0"/>
        <n v="24604.0"/>
        <n v="115470.0"/>
        <n v="33881.0"/>
        <n v="65604.0"/>
        <n v="84113.0"/>
        <n v="38543.0"/>
        <n v="69672.0"/>
        <n v="46642.0"/>
        <n v="52948.0"/>
        <n v="109324.0"/>
        <n v="80832.0"/>
        <n v="28922.0"/>
        <n v="53477.0"/>
        <n v="89952.0"/>
        <n v="76554.0"/>
        <n v="32328.0"/>
        <n v="27199.0"/>
        <n v="105615.0"/>
        <n v="32469.0"/>
        <n v="73317.0"/>
        <n v="59995.0"/>
        <n v="110093.0"/>
        <n v="72000.0"/>
        <n v="28211.0"/>
        <n v="36468.0"/>
        <n v="115545.0"/>
        <n v="63322.0"/>
        <n v="82333.0"/>
        <n v="97447.0"/>
        <n v="114974.0"/>
        <n v="61674.0"/>
        <n v="39919.0"/>
        <n v="64127.0"/>
        <n v="114682.0"/>
        <n v="21985.0"/>
        <n v="89516.0"/>
        <n v="60249.0"/>
        <n v="20445.0"/>
        <n v="65769.0"/>
        <n v="115169.0"/>
        <n v="68454.0"/>
        <n v="66432.0"/>
        <n v="113089.0"/>
        <n v="36451.0"/>
        <n v="59022.0"/>
        <n v="82994.0"/>
        <n v="104115.0"/>
        <n v="86365.0"/>
        <n v="86548.0"/>
        <n v="106550.0"/>
        <n v="24686.0"/>
        <n v="64219.0"/>
        <n v="106746.0"/>
        <n v="34831.0"/>
        <n v="43477.0"/>
        <n v="70970.0"/>
        <n v="77860.0"/>
        <n v="93782.0"/>
        <n v="108129.0"/>
        <n v="102619.0"/>
        <n v="109132.0"/>
        <n v="25035.0"/>
        <n v="76408.0"/>
        <n v="52161.0"/>
        <n v="48016.0"/>
        <n v="43536.0"/>
        <n v="50259.0"/>
        <n v="64614.0"/>
        <n v="92579.0"/>
        <n v="79569.0"/>
        <n v="67793.0"/>
        <n v="53153.0"/>
        <n v="29981.0"/>
        <n v="77069.0"/>
        <n v="108430.0"/>
        <n v="54886.0"/>
        <n v="55482.0"/>
        <n v="115656.0"/>
        <n v="76742.0"/>
        <n v="54170.0"/>
        <n v="75732.0"/>
        <n v="66008.0"/>
        <n v="72096.0"/>
        <n v="86979.0"/>
        <n v="33939.0"/>
        <n v="92147.0"/>
        <n v="95003.0"/>
        <n v="79083.0"/>
        <n v="76299.0"/>
        <n v="89864.0"/>
        <n v="73110.0"/>
        <n v="55147.0"/>
        <n v="37938.0"/>
        <n v="112261.0"/>
        <n v="66740.0"/>
        <n v="23248.0"/>
        <n v="100334.0"/>
        <n v="115195.0"/>
        <n v="69989.0"/>
        <n v="98272.0"/>
        <n v="75306.0"/>
        <n v="92542.0"/>
        <n v="50108.0"/>
        <n v="109746.0"/>
        <n v="107091.0"/>
        <n v="51550.0"/>
        <n v="32423.0"/>
        <n v="104538.0"/>
        <n v="51515.0"/>
        <n v="62907.0"/>
        <n v="84824.0"/>
        <n v="56657.0"/>
        <n v="34796.0"/>
        <n v="81446.0"/>
        <n v="92923.0"/>
        <n v="95253.0"/>
        <n v="47361.0"/>
        <n v="99091.0"/>
        <n v="49902.0"/>
        <n v="84400.0"/>
        <n v="100495.0"/>
        <n v="81127.0"/>
        <n v="110544.0"/>
        <n v="109191.0"/>
        <n v="27409.0"/>
        <n v="97150.0"/>
        <n v="21763.0"/>
        <n v="58622.0"/>
        <n v="73090.0"/>
        <n v="74329.0"/>
        <n v="101170.0"/>
        <n v="25703.0"/>
        <n v="96787.0"/>
        <n v="83308.0"/>
        <n v="30155.0"/>
        <n v="71492.0"/>
        <n v="36738.0"/>
        <n v="24003.0"/>
        <n v="54929.0"/>
        <n v="33452.0"/>
        <n v="41096.0"/>
        <n v="113084.0"/>
        <n v="72102.0"/>
        <n v="54904.0"/>
        <n v="61758.0"/>
        <n v="107580.0"/>
        <n v="98774.0"/>
        <n v="68258.0"/>
        <n v="118237.0"/>
        <n v="28563.0"/>
        <n v="110351.0"/>
        <n v="98984.0"/>
        <n v="108861.0"/>
        <n v="77188.0"/>
        <n v="105813.0"/>
        <n v="107617.0"/>
        <n v="22479.0"/>
        <n v="54432.0"/>
        <n v="38361.0"/>
        <n v="31552.0"/>
        <n v="108939.0"/>
        <n v="96198.0"/>
        <n v="109517.0"/>
        <n v="115584.0"/>
        <n v="52456.0"/>
        <n v="50932.0"/>
        <n v="102850.0"/>
        <n v="87585.0"/>
        <n v="68902.0"/>
        <n v="88026.0"/>
        <n v="57958.0"/>
        <n v="83056.0"/>
        <n v="34228.0"/>
        <n v="47834.0"/>
        <n v="49992.0"/>
        <n v="37091.0"/>
        <n v="78861.0"/>
        <n v="64679.0"/>
        <n v="33142.0"/>
        <n v="93680.0"/>
        <n v="74393.0"/>
        <n v="86117.0"/>
        <n v="49172.0"/>
        <n v="82371.0"/>
        <n v="87865.0"/>
        <n v="52658.0"/>
        <n v="76684.0"/>
        <n v="41517.0"/>
        <n v="88757.0"/>
        <n v="31803.0"/>
        <n v="67908.0"/>
        <n v="38651.0"/>
        <n v="100382.0"/>
        <n v="60494.0"/>
        <n v="101767.0"/>
        <n v="23760.0"/>
        <n v="104710.0"/>
        <n v="71044.0"/>
        <n v="110221.0"/>
        <n v="72178.0"/>
        <n v="100635.0"/>
        <n v="35956.0"/>
        <n v="32350.0"/>
        <n v="110586.0"/>
        <n v="66035.0"/>
        <n v="102110.0"/>
        <n v="57379.0"/>
        <n v="54737.0"/>
        <n v="27485.0"/>
        <n v="36646.0"/>
        <n v="41102.0"/>
        <n v="89782.0"/>
        <n v="96997.0"/>
        <n v="100781.0"/>
        <n v="25922.0"/>
        <n v="117850.0"/>
        <n v="72150.0"/>
        <n v="30340.0"/>
        <n v="38129.0"/>
        <n v="23809.0"/>
        <n v="117510.0"/>
        <n v="76661.0"/>
        <n v="101659.0"/>
        <n v="103511.0"/>
        <n v="56302.0"/>
        <n v="35557.0"/>
        <n v="94275.0"/>
        <n v="54171.0"/>
        <n v="56853.0"/>
        <n v="47322.0"/>
        <n v="104600.0"/>
        <n v="91174.0"/>
        <n v="58667.0"/>
        <n v="20648.0"/>
        <n v="118841.0"/>
        <n v="52713.0"/>
        <n v="90034.0"/>
        <n v="27702.0"/>
        <n v="59702.0"/>
        <n v="26484.0"/>
        <n v="70483.0"/>
        <n v="23666.0"/>
        <n v="47353.0"/>
        <n v="109956.0"/>
        <n v="86969.0"/>
        <n v="34102.0"/>
        <n v="57292.0"/>
        <n v="76672.0"/>
        <n v="94271.0"/>
        <n v="101854.0"/>
        <n v="90071.0"/>
        <n v="110730.0"/>
        <n v="51167.0"/>
        <n v="74368.0"/>
        <n v="88859.0"/>
        <n v="20092.0"/>
        <n v="75221.0"/>
        <n v="67731.0"/>
        <n v="55963.0"/>
        <n v="76457.0"/>
        <n v="72016.0"/>
        <n v="95271.0"/>
        <n v="86561.0"/>
        <n v="51240.0"/>
        <n v="104017.0"/>
        <n v="115178.0"/>
        <n v="53699.0"/>
        <n v="101030.0"/>
        <n v="94285.0"/>
        <n v="64378.0"/>
        <n v="115633.0"/>
        <n v="84934.0"/>
        <n v="86501.0"/>
        <n v="88317.0"/>
        <n v="84638.0"/>
        <n v="40621.0"/>
        <n v="82148.0"/>
        <n v="30036.0"/>
        <n v="23639.0"/>
        <n v="81382.0"/>
        <n v="72471.0"/>
        <n v="78086.0"/>
        <n v="58316.0"/>
        <n v="58529.0"/>
        <n v="59292.0"/>
        <n v="98210.0"/>
        <n v="39726.0"/>
        <n v="75533.0"/>
        <n v="84155.0"/>
        <n v="70862.0"/>
        <n v="69192.0"/>
        <n v="67285.0"/>
        <n v="71942.0"/>
        <n v="88640.0"/>
        <n v="79813.0"/>
        <n v="110625.0"/>
        <n v="52842.0"/>
        <n v="68197.0"/>
        <n v="105304.0"/>
        <n v="85145.0"/>
        <n v="107909.0"/>
        <n v="93401.0"/>
        <n v="91535.0"/>
        <n v="109417.0"/>
        <n v="29694.0"/>
        <n v="115289.0"/>
        <n v="37234.0"/>
        <n v="78228.0"/>
        <n v="110181.0"/>
        <n v="83608.0"/>
        <n v="102915.0"/>
        <n v="82990.0"/>
        <n v="45686.0"/>
        <n v="45508.0"/>
        <n v="61945.0"/>
        <n v="61209.0"/>
        <n v="95026.0"/>
        <n v="106411.0"/>
        <n v="39493.0"/>
        <n v="68008.0"/>
        <n v="77841.0"/>
        <n v="56229.0"/>
        <n v="57435.0"/>
        <n v="48008.0"/>
        <n v="82918.0"/>
        <n v="64988.0"/>
        <n v="42084.0"/>
        <n v="101277.0"/>
        <n v="86638.0"/>
        <n v="114678.0"/>
        <n v="20143.0"/>
        <n v="90174.0"/>
        <n v="49404.0"/>
        <n v="51382.0"/>
      </sharedItems>
    </cacheField>
    <cacheField name="Location" numFmtId="0">
      <sharedItems>
        <s v="Bangalore"/>
        <s v="Hyderabad"/>
        <s v="Pune"/>
        <s v="Chennai"/>
        <s v="Mumbai"/>
        <s v="Delhi"/>
      </sharedItems>
    </cacheField>
    <cacheField name="Education" numFmtId="0">
      <sharedItems>
        <s v="Post Graduate"/>
        <s v="Diploma"/>
        <s v="Graduate"/>
      </sharedItems>
    </cacheField>
    <cacheField name="Attrition" numFmtId="0">
      <sharedItems>
        <s v="Yes"/>
        <s v="No"/>
      </sharedItems>
    </cacheField>
    <cacheField name="Performance_Rating" numFmtId="0">
      <sharedItems containsSemiMixedTypes="0" containsString="0" containsNumber="1" containsInteger="1">
        <n v="2.0"/>
        <n v="1.0"/>
        <n v="4.0"/>
        <n v="3.0"/>
        <n v="5.0"/>
      </sharedItems>
    </cacheField>
    <cacheField name="Joining_Date" numFmtId="164">
      <sharedItems containsSemiMixedTypes="0" containsDate="1" containsString="0">
        <d v="2020-07-24T00:00:00Z"/>
        <d v="2015-04-10T00:00:00Z"/>
        <d v="2019-04-07T00:00:00Z"/>
        <d v="2011-08-04T00:00:00Z"/>
        <d v="2016-02-25T00:00:00Z"/>
        <d v="2024-09-18T00:00:00Z"/>
        <d v="2016-11-21T00:00:00Z"/>
        <d v="2016-03-26T00:00:00Z"/>
        <d v="2015-02-17T00:00:00Z"/>
        <d v="2017-03-12T00:00:00Z"/>
        <d v="2016-05-14T00:00:00Z"/>
        <d v="2025-01-14T00:00:00Z"/>
        <d v="2023-02-02T00:00:00Z"/>
        <d v="2014-01-28T00:00:00Z"/>
        <d v="2020-12-26T00:00:00Z"/>
        <d v="2012-04-19T00:00:00Z"/>
        <d v="2014-02-22T00:00:00Z"/>
        <d v="2018-08-23T00:00:00Z"/>
        <d v="2014-03-27T00:00:00Z"/>
        <d v="2015-09-22T00:00:00Z"/>
        <d v="2021-08-27T00:00:00Z"/>
        <d v="2011-07-18T00:00:00Z"/>
        <d v="2024-11-19T00:00:00Z"/>
        <d v="2018-10-06T00:00:00Z"/>
        <d v="2018-04-15T00:00:00Z"/>
        <d v="2024-04-20T00:00:00Z"/>
        <d v="2013-05-06T00:00:00Z"/>
        <d v="2018-12-14T00:00:00Z"/>
        <d v="2021-02-12T00:00:00Z"/>
        <d v="2025-11-04T00:00:00Z"/>
        <d v="2023-10-12T00:00:00Z"/>
        <d v="2015-10-01T00:00:00Z"/>
        <d v="2014-02-23T00:00:00Z"/>
        <d v="2019-02-03T00:00:00Z"/>
        <d v="2024-02-13T00:00:00Z"/>
        <d v="2012-11-26T00:00:00Z"/>
        <d v="2014-06-18T00:00:00Z"/>
        <d v="2012-10-07T00:00:00Z"/>
        <d v="2012-03-11T00:00:00Z"/>
        <d v="2013-04-27T00:00:00Z"/>
        <d v="2017-04-13T00:00:00Z"/>
        <d v="2021-03-09T00:00:00Z"/>
        <d v="2022-05-26T00:00:00Z"/>
        <d v="2020-06-24T00:00:00Z"/>
        <d v="2014-08-16T00:00:00Z"/>
        <d v="2025-04-14T00:00:00Z"/>
        <d v="2025-11-20T00:00:00Z"/>
        <d v="2018-12-21T00:00:00Z"/>
        <d v="2019-11-09T00:00:00Z"/>
        <d v="2011-05-08T00:00:00Z"/>
        <d v="2014-06-20T00:00:00Z"/>
        <d v="2024-12-09T00:00:00Z"/>
        <d v="2020-04-03T00:00:00Z"/>
        <d v="2011-09-11T00:00:00Z"/>
        <d v="2016-07-25T00:00:00Z"/>
        <d v="2025-02-22T00:00:00Z"/>
        <d v="2025-12-01T00:00:00Z"/>
        <d v="2012-08-15T00:00:00Z"/>
        <d v="2013-04-25T00:00:00Z"/>
        <d v="2017-05-09T00:00:00Z"/>
        <d v="2018-04-06T00:00:00Z"/>
        <d v="2011-04-17T00:00:00Z"/>
        <d v="2026-03-06T00:00:00Z"/>
        <d v="2026-02-15T00:00:00Z"/>
        <d v="2014-01-06T00:00:00Z"/>
        <d v="2016-08-14T00:00:00Z"/>
        <d v="2017-12-27T00:00:00Z"/>
        <d v="2021-05-15T00:00:00Z"/>
        <d v="2026-06-09T00:00:00Z"/>
        <d v="2017-05-06T00:00:00Z"/>
        <d v="2025-01-27T00:00:00Z"/>
        <d v="2011-08-03T00:00:00Z"/>
        <d v="2017-09-12T00:00:00Z"/>
        <d v="2019-04-26T00:00:00Z"/>
        <d v="2022-04-07T00:00:00Z"/>
        <d v="2018-05-15T00:00:00Z"/>
        <d v="2020-12-15T00:00:00Z"/>
        <d v="2017-02-15T00:00:00Z"/>
        <d v="2012-05-25T00:00:00Z"/>
        <d v="2020-05-01T00:00:00Z"/>
        <d v="2012-12-27T00:00:00Z"/>
        <d v="2015-02-28T00:00:00Z"/>
        <d v="2015-05-01T00:00:00Z"/>
        <d v="2020-07-07T00:00:00Z"/>
        <d v="2013-09-26T00:00:00Z"/>
        <d v="2020-12-17T00:00:00Z"/>
        <d v="2024-06-02T00:00:00Z"/>
        <d v="2026-05-02T00:00:00Z"/>
        <d v="2016-12-12T00:00:00Z"/>
        <d v="2018-05-19T00:00:00Z"/>
        <d v="2016-11-19T00:00:00Z"/>
        <d v="2025-09-14T00:00:00Z"/>
        <d v="2023-12-18T00:00:00Z"/>
        <d v="2026-01-10T00:00:00Z"/>
        <d v="2017-05-07T00:00:00Z"/>
        <d v="2020-08-02T00:00:00Z"/>
        <d v="2012-01-01T00:00:00Z"/>
        <d v="2013-04-23T00:00:00Z"/>
        <d v="2025-07-04T00:00:00Z"/>
        <d v="2017-02-14T00:00:00Z"/>
        <d v="2015-11-13T00:00:00Z"/>
        <d v="2025-07-06T00:00:00Z"/>
        <d v="2018-01-02T00:00:00Z"/>
        <d v="2024-02-15T00:00:00Z"/>
        <d v="2011-02-03T00:00:00Z"/>
        <d v="2015-12-10T00:00:00Z"/>
        <d v="2013-11-24T00:00:00Z"/>
        <d v="2026-05-20T00:00:00Z"/>
        <d v="2019-06-06T00:00:00Z"/>
        <d v="2013-06-25T00:00:00Z"/>
        <d v="2016-10-17T00:00:00Z"/>
        <d v="2018-11-24T00:00:00Z"/>
        <d v="2013-11-11T00:00:00Z"/>
        <d v="2017-06-22T00:00:00Z"/>
        <d v="2014-04-07T00:00:00Z"/>
        <d v="2023-09-05T00:00:00Z"/>
        <d v="2025-07-27T00:00:00Z"/>
        <d v="2024-01-18T00:00:00Z"/>
        <d v="2021-12-02T00:00:00Z"/>
        <d v="2012-11-19T00:00:00Z"/>
        <d v="2019-02-10T00:00:00Z"/>
        <d v="2018-12-03T00:00:00Z"/>
        <d v="2012-09-11T00:00:00Z"/>
        <d v="2012-04-23T00:00:00Z"/>
        <d v="2023-06-04T00:00:00Z"/>
        <d v="2019-07-22T00:00:00Z"/>
        <d v="2018-03-28T00:00:00Z"/>
        <d v="2022-11-22T00:00:00Z"/>
        <d v="2016-02-12T00:00:00Z"/>
        <d v="2024-06-20T00:00:00Z"/>
        <d v="2026-05-10T00:00:00Z"/>
        <d v="2019-02-17T00:00:00Z"/>
        <d v="2024-07-26T00:00:00Z"/>
        <d v="2017-01-03T00:00:00Z"/>
        <d v="2022-10-17T00:00:00Z"/>
        <d v="2024-09-03T00:00:00Z"/>
        <d v="2012-05-12T00:00:00Z"/>
        <d v="2022-12-22T00:00:00Z"/>
        <d v="2015-05-17T00:00:00Z"/>
        <d v="2021-02-04T00:00:00Z"/>
        <d v="2020-06-10T00:00:00Z"/>
        <d v="2019-10-24T00:00:00Z"/>
        <d v="2012-08-17T00:00:00Z"/>
        <d v="2023-10-18T00:00:00Z"/>
        <d v="2025-06-02T00:00:00Z"/>
        <d v="2024-12-04T00:00:00Z"/>
        <d v="2020-03-20T00:00:00Z"/>
        <d v="2015-02-03T00:00:00Z"/>
        <d v="2014-02-04T00:00:00Z"/>
        <d v="2012-03-18T00:00:00Z"/>
        <d v="2021-05-28T00:00:00Z"/>
        <d v="2025-05-28T00:00:00Z"/>
        <d v="2020-09-11T00:00:00Z"/>
        <d v="2026-05-01T00:00:00Z"/>
        <d v="2026-10-11T00:00:00Z"/>
        <d v="2018-09-07T00:00:00Z"/>
        <d v="2021-07-24T00:00:00Z"/>
        <d v="2014-07-15T00:00:00Z"/>
        <d v="2015-02-04T00:00:00Z"/>
        <d v="2018-06-13T00:00:00Z"/>
        <d v="2025-03-06T00:00:00Z"/>
        <d v="2026-11-22T00:00:00Z"/>
        <d v="2019-12-15T00:00:00Z"/>
        <d v="2017-11-02T00:00:00Z"/>
        <d v="2018-11-13T00:00:00Z"/>
        <d v="2014-06-25T00:00:00Z"/>
        <d v="2023-10-17T00:00:00Z"/>
        <d v="2019-09-26T00:00:00Z"/>
        <d v="2019-11-26T00:00:00Z"/>
        <d v="2026-04-17T00:00:00Z"/>
        <d v="2025-10-01T00:00:00Z"/>
        <d v="2016-05-07T00:00:00Z"/>
        <d v="2015-11-20T00:00:00Z"/>
        <d v="2011-05-28T00:00:00Z"/>
        <d v="2017-08-18T00:00:00Z"/>
        <d v="2019-07-11T00:00:00Z"/>
        <d v="2020-10-24T00:00:00Z"/>
        <d v="2021-07-27T00:00:00Z"/>
        <d v="2020-11-06T00:00:00Z"/>
        <d v="2019-09-20T00:00:00Z"/>
        <d v="2013-07-09T00:00:00Z"/>
        <d v="2014-08-09T00:00:00Z"/>
        <d v="2022-10-06T00:00:00Z"/>
        <d v="2023-10-10T00:00:00Z"/>
        <d v="2014-10-20T00:00:00Z"/>
        <d v="2015-05-04T00:00:00Z"/>
        <d v="2017-06-10T00:00:00Z"/>
        <d v="2023-06-07T00:00:00Z"/>
        <d v="2013-03-22T00:00:00Z"/>
        <d v="2024-10-13T00:00:00Z"/>
        <d v="2018-08-11T00:00:00Z"/>
        <d v="2022-10-04T00:00:00Z"/>
        <d v="2019-09-24T00:00:00Z"/>
        <d v="2013-10-10T00:00:00Z"/>
        <d v="2020-08-16T00:00:00Z"/>
        <d v="2015-10-02T00:00:00Z"/>
        <d v="2021-10-19T00:00:00Z"/>
        <d v="2023-09-12T00:00:00Z"/>
        <d v="2019-08-20T00:00:00Z"/>
        <d v="2017-08-25T00:00:00Z"/>
        <d v="2011-03-27T00:00:00Z"/>
        <d v="2020-12-08T00:00:00Z"/>
        <d v="2023-04-25T00:00:00Z"/>
        <d v="2023-12-22T00:00:00Z"/>
        <d v="2025-07-01T00:00:00Z"/>
        <d v="2015-05-07T00:00:00Z"/>
        <d v="2019-11-01T00:00:00Z"/>
        <d v="2025-02-06T00:00:00Z"/>
        <d v="2025-12-14T00:00:00Z"/>
        <d v="2023-10-16T00:00:00Z"/>
        <d v="2015-06-25T00:00:00Z"/>
        <d v="2016-08-19T00:00:00Z"/>
        <d v="2026-03-07T00:00:00Z"/>
        <d v="2019-06-18T00:00:00Z"/>
        <d v="2018-06-08T00:00:00Z"/>
        <d v="2023-09-23T00:00:00Z"/>
        <d v="2012-12-19T00:00:00Z"/>
        <d v="2025-09-13T00:00:00Z"/>
        <d v="2015-02-22T00:00:00Z"/>
        <d v="2022-04-24T00:00:00Z"/>
        <d v="2013-06-24T00:00:00Z"/>
        <d v="2013-01-18T00:00:00Z"/>
        <d v="2022-03-10T00:00:00Z"/>
        <d v="2019-01-17T00:00:00Z"/>
        <d v="2019-02-08T00:00:00Z"/>
        <d v="2024-03-26T00:00:00Z"/>
        <d v="2017-08-06T00:00:00Z"/>
        <d v="2025-09-11T00:00:00Z"/>
        <d v="2024-04-05T00:00:00Z"/>
        <d v="2013-02-12T00:00:00Z"/>
        <d v="2016-07-14T00:00:00Z"/>
        <d v="2016-09-13T00:00:00Z"/>
        <d v="2011-12-01T00:00:00Z"/>
        <d v="2017-03-14T00:00:00Z"/>
        <d v="2019-05-14T00:00:00Z"/>
        <d v="2012-04-04T00:00:00Z"/>
        <d v="2022-11-02T00:00:00Z"/>
        <d v="2019-04-27T00:00:00Z"/>
        <d v="2016-05-08T00:00:00Z"/>
        <d v="2023-06-11T00:00:00Z"/>
        <d v="2018-07-23T00:00:00Z"/>
        <d v="2017-08-14T00:00:00Z"/>
        <d v="2016-04-17T00:00:00Z"/>
        <d v="2024-05-25T00:00:00Z"/>
        <d v="2025-04-02T00:00:00Z"/>
        <d v="2026-01-22T00:00:00Z"/>
        <d v="2014-10-07T00:00:00Z"/>
        <d v="2018-12-25T00:00:00Z"/>
        <d v="2011-02-05T00:00:00Z"/>
        <d v="2026-12-25T00:00:00Z"/>
        <d v="2021-05-26T00:00:00Z"/>
        <d v="2020-08-10T00:00:00Z"/>
        <d v="2022-05-27T00:00:00Z"/>
        <d v="2015-01-25T00:00:00Z"/>
        <d v="2017-07-27T00:00:00Z"/>
        <d v="2016-05-24T00:00:00Z"/>
        <d v="2012-01-08T00:00:00Z"/>
        <d v="2012-12-20T00:00:00Z"/>
        <d v="2013-03-06T00:00:00Z"/>
        <d v="2016-12-26T00:00:00Z"/>
        <d v="2012-03-19T00:00:00Z"/>
        <d v="2019-09-06T00:00:00Z"/>
        <d v="2025-01-24T00:00:00Z"/>
        <d v="2011-12-02T00:00:00Z"/>
        <d v="2023-05-27T00:00:00Z"/>
        <d v="2023-06-28T00:00:00Z"/>
        <d v="2011-01-19T00:00:00Z"/>
        <d v="2018-12-20T00:00:00Z"/>
        <d v="2016-12-22T00:00:00Z"/>
        <d v="2012-04-10T00:00:00Z"/>
        <d v="2022-11-11T00:00:00Z"/>
        <d v="2020-07-05T00:00:00Z"/>
        <d v="2023-08-26T00:00:00Z"/>
        <d v="2018-04-11T00:00:00Z"/>
        <d v="2020-03-23T00:00:00Z"/>
        <d v="2020-06-06T00:00:00Z"/>
        <d v="2013-11-08T00:00:00Z"/>
        <d v="2014-03-01T00:00:00Z"/>
        <d v="2026-08-25T00:00:00Z"/>
        <d v="2018-01-06T00:00:00Z"/>
        <d v="2016-01-13T00:00:00Z"/>
        <d v="2026-09-06T00:00:00Z"/>
        <d v="2011-04-04T00:00:00Z"/>
        <d v="2019-07-23T00:00:00Z"/>
        <d v="2020-07-25T00:00:00Z"/>
        <d v="2024-10-04T00:00:00Z"/>
        <d v="2025-06-11T00:00:00Z"/>
        <d v="2026-04-02T00:00:00Z"/>
        <d v="2021-01-04T00:00:00Z"/>
        <d v="2020-10-28T00:00:00Z"/>
        <d v="2018-06-07T00:00:00Z"/>
        <d v="2011-01-14T00:00:00Z"/>
        <d v="2025-07-18T00:00:00Z"/>
        <d v="2019-01-10T00:00:00Z"/>
        <d v="2020-05-02T00:00:00Z"/>
        <d v="2018-02-15T00:00:00Z"/>
        <d v="2025-08-27T00:00:00Z"/>
        <d v="2022-03-27T00:00:00Z"/>
        <d v="2012-09-16T00:00:00Z"/>
        <d v="2022-01-15T00:00:00Z"/>
        <d v="2017-02-08T00:00:00Z"/>
        <d v="2015-11-19T00:00:00Z"/>
        <d v="2012-01-19T00:00:00Z"/>
        <d v="2022-12-21T00:00:00Z"/>
        <d v="2026-01-21T00:00:00Z"/>
        <d v="2012-05-13T00:00:00Z"/>
        <d v="2018-12-18T00:00:00Z"/>
        <d v="2019-11-22T00:00:00Z"/>
        <d v="2024-08-25T00:00:00Z"/>
        <d v="2025-11-15T00:00:00Z"/>
        <d v="2014-07-12T00:00:00Z"/>
        <d v="2024-11-08T00:00:00Z"/>
        <d v="2025-07-23T00:00:00Z"/>
        <d v="2020-04-27T00:00:00Z"/>
        <d v="2013-08-10T00:00:00Z"/>
        <d v="2011-11-03T00:00:00Z"/>
        <d v="2014-02-28T00:00:00Z"/>
        <d v="2011-10-03T00:00:00Z"/>
        <d v="2020-10-12T00:00:00Z"/>
        <d v="2012-07-24T00:00:00Z"/>
        <d v="2021-02-11T00:00:00Z"/>
        <d v="2014-11-05T00:00:00Z"/>
        <d v="2014-05-01T00:00:00Z"/>
        <d v="2026-02-14T00:00:00Z"/>
        <d v="2021-12-09T00:00:00Z"/>
        <d v="2014-03-15T00:00:00Z"/>
        <d v="2018-05-18T00:00:00Z"/>
        <d v="2011-12-09T00:00:00Z"/>
        <d v="2022-11-23T00:00:00Z"/>
        <d v="2017-03-23T00:00:00Z"/>
        <d v="2023-12-02T00:00:00Z"/>
        <d v="2023-12-21T00:00:00Z"/>
        <d v="2015-06-20T00:00:00Z"/>
        <d v="2018-08-27T00:00:00Z"/>
        <d v="2023-03-26T00:00:00Z"/>
        <d v="2026-09-16T00:00:00Z"/>
        <d v="2024-03-09T00:00:00Z"/>
        <d v="2020-02-27T00:00:00Z"/>
        <d v="2012-12-26T00:00:00Z"/>
        <d v="2026-07-02T00:00:00Z"/>
        <d v="2026-03-12T00:00:00Z"/>
        <d v="2022-11-25T00:00:00Z"/>
        <d v="2023-05-28T00:00:00Z"/>
        <d v="2014-08-20T00:00:00Z"/>
        <d v="2018-02-08T00:00:00Z"/>
        <d v="2022-02-10T00:00:00Z"/>
        <d v="2015-08-06T00:00:00Z"/>
        <d v="2015-10-06T00:00:00Z"/>
        <d v="2025-02-08T00:00:00Z"/>
        <d v="2014-05-28T00:00:00Z"/>
        <d v="2017-03-28T00:00:00Z"/>
        <d v="2024-08-22T00:00:00Z"/>
        <d v="2019-07-05T00:00:00Z"/>
        <d v="2012-02-05T00:00:00Z"/>
        <d v="2025-06-16T00:00:00Z"/>
        <d v="2024-10-22T00:00:00Z"/>
        <d v="2014-11-07T00:00:00Z"/>
        <d v="2025-07-09T00:00:00Z"/>
        <d v="2018-06-16T00:00:00Z"/>
        <d v="2016-03-24T00:00:00Z"/>
        <d v="2018-04-24T00:00:00Z"/>
        <d v="2017-04-28T00:00:00Z"/>
        <d v="2017-02-18T00:00:00Z"/>
        <d v="2025-03-12T00:00:00Z"/>
        <d v="2011-02-20T00:00:00Z"/>
        <d v="2022-01-24T00:00:00Z"/>
        <d v="2014-12-08T00:00:00Z"/>
        <d v="2019-04-04T00:00:00Z"/>
        <d v="2019-07-24T00:00:00Z"/>
        <d v="2018-02-14T00:00:00Z"/>
        <d v="2023-01-18T00:00:00Z"/>
        <d v="2026-12-22T00:00:00Z"/>
        <d v="2022-01-21T00:00:00Z"/>
        <d v="2016-04-22T00:00:00Z"/>
        <d v="2025-07-07T00:00:00Z"/>
        <d v="2015-11-01T00:00:00Z"/>
        <d v="2025-10-03T00:00:00Z"/>
        <d v="2024-08-28T00:00:00Z"/>
        <d v="2017-02-24T00:00:00Z"/>
        <d v="2012-03-13T00:00:00Z"/>
        <d v="2013-05-14T00:00:00Z"/>
        <d v="2016-06-25T00:00:00Z"/>
        <d v="2024-09-04T00:00:00Z"/>
        <d v="2021-07-02T00:00:00Z"/>
        <d v="2021-09-18T00:00:00Z"/>
        <d v="2019-11-18T00:00:00Z"/>
        <d v="2014-09-04T00:00:00Z"/>
        <d v="2011-10-15T00:00:00Z"/>
        <d v="2020-03-11T00:00:00Z"/>
        <d v="2019-03-08T00:00:00Z"/>
        <d v="2024-08-15T00:00:00Z"/>
        <d v="2016-07-12T00:00:00Z"/>
        <d v="2011-05-06T00:00:00Z"/>
        <d v="2024-03-04T00:00:00Z"/>
        <d v="2026-04-22T00:00:00Z"/>
        <d v="2026-05-24T00:00:00Z"/>
        <d v="2022-11-05T00:00:00Z"/>
        <d v="2013-06-02T00:00:00Z"/>
        <d v="2024-03-03T00:00:00Z"/>
        <d v="2023-09-04T00:00:00Z"/>
        <d v="2021-06-24T00:00:00Z"/>
        <d v="2023-12-15T00:00:00Z"/>
        <d v="2021-07-26T00:00:00Z"/>
        <d v="2011-04-10T00:00:00Z"/>
        <d v="2011-02-07T00:00:00Z"/>
        <d v="2018-06-05T00:00:00Z"/>
        <d v="2011-04-06T00:00:00Z"/>
        <d v="2016-12-04T00:00:00Z"/>
        <d v="2012-02-22T00:00:00Z"/>
        <d v="2015-11-17T00:00:00Z"/>
        <d v="2019-12-03T00:00:00Z"/>
        <d v="2022-09-23T00:00:00Z"/>
        <d v="2017-04-17T00:00:00Z"/>
        <d v="2025-11-13T00:00:00Z"/>
        <d v="2012-01-16T00:00:00Z"/>
        <d v="2020-09-03T00:00:00Z"/>
        <d v="2013-01-28T00:00:00Z"/>
        <d v="2012-12-22T00:00:00Z"/>
        <d v="2013-12-16T00:00:00Z"/>
        <d v="2015-07-24T00:00:00Z"/>
        <d v="2021-12-14T00:00:00Z"/>
        <d v="2022-04-26T00:00:00Z"/>
        <d v="2019-07-12T00:00:00Z"/>
        <d v="2020-04-02T00:00:00Z"/>
        <d v="2012-11-23T00:00:00Z"/>
        <d v="2013-03-15T00:00:00Z"/>
        <d v="2020-05-26T00:00:00Z"/>
        <d v="2017-02-04T00:00:00Z"/>
        <d v="2018-02-26T00:00:00Z"/>
        <d v="2017-11-27T00:00:00Z"/>
        <d v="2022-09-26T00:00:00Z"/>
        <d v="2011-08-08T00:00:00Z"/>
        <d v="2019-07-14T00:00:00Z"/>
        <d v="2020-09-20T00:00:00Z"/>
        <d v="2024-03-02T00:00:00Z"/>
        <d v="2019-05-10T00:00:00Z"/>
        <d v="2019-02-19T00:00:00Z"/>
        <d v="2026-06-21T00:00:00Z"/>
        <d v="2024-11-12T00:00:00Z"/>
        <d v="2023-08-25T00:00:00Z"/>
        <d v="2012-03-27T00:00:00Z"/>
        <d v="2011-09-16T00:00:00Z"/>
        <d v="2012-08-18T00:00:00Z"/>
        <d v="2021-07-12T00:00:00Z"/>
        <d v="2017-11-21T00:00:00Z"/>
        <d v="2022-06-17T00:00:00Z"/>
        <d v="2015-09-01T00:00:00Z"/>
        <d v="2024-05-10T00:00:00Z"/>
        <d v="2013-09-05T00:00:00Z"/>
        <d v="2023-02-21T00:00:00Z"/>
        <d v="2024-02-28T00:00:00Z"/>
        <d v="2024-06-01T00:00:00Z"/>
        <d v="2022-01-05T00:00:00Z"/>
        <d v="2020-01-25T00:00:00Z"/>
        <d v="2019-11-28T00:00:00Z"/>
        <d v="2020-03-08T00:00:00Z"/>
        <d v="2020-08-26T00:00:00Z"/>
        <d v="2019-07-28T00:00:00Z"/>
        <d v="2020-08-18T00:00:00Z"/>
        <d v="2019-05-15T00:00:00Z"/>
        <d v="2014-08-19T00:00:00Z"/>
        <d v="2025-02-23T00:00:00Z"/>
        <d v="2018-11-23T00:00:00Z"/>
        <d v="2012-04-17T00:00:00Z"/>
        <d v="2019-08-14T00:00:00Z"/>
        <d v="2011-08-15T00:00:00Z"/>
        <d v="2013-06-03T00:00:00Z"/>
        <d v="2025-01-09T00:00:00Z"/>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COUNT of Employee_ID" cacheId="0" dataCaption="" rowGrandTotals="0" colGrandTotals="0" compact="0" compactData="0">
  <location ref="A1:C8" firstHeaderRow="0" firstDataRow="1" firstDataCol="1"/>
  <pivotFields>
    <pivotField name="Employee_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ender" compact="0" outline="0" multipleItemSelectionAllowed="1" showAll="0">
      <items>
        <item x="0"/>
        <item x="1"/>
        <item t="default"/>
      </items>
    </pivotField>
    <pivotField name="Department" axis="axisRow" compact="0" outline="0" multipleItemSelectionAllowed="1" showAll="0" sortType="ascending">
      <items>
        <item x="3"/>
        <item x="4"/>
        <item x="1"/>
        <item x="0"/>
        <item x="2"/>
        <item x="5"/>
        <item t="default"/>
      </items>
    </pivotField>
    <pivotField name="Job_Role" compact="0" outline="0" multipleItemSelectionAllowed="1" showAll="0">
      <items>
        <item x="0"/>
        <item x="1"/>
        <item x="2"/>
        <item x="3"/>
        <item x="4"/>
        <item t="default"/>
      </items>
    </pivotField>
    <pivotField name="Experience_Years" compact="0" outline="0" multipleItemSelectionAllowed="1" showAll="0">
      <items>
        <item x="0"/>
        <item x="1"/>
        <item x="2"/>
        <item x="3"/>
        <item x="4"/>
        <item x="5"/>
        <item x="6"/>
        <item x="7"/>
        <item x="8"/>
        <item x="9"/>
        <item x="10"/>
        <item x="11"/>
        <item x="12"/>
        <item x="13"/>
        <item x="14"/>
        <item x="15"/>
        <item t="default"/>
      </items>
    </pivotField>
    <pivotField name="Sala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name="Location" compact="0" outline="0" multipleItemSelectionAllowed="1" showAll="0">
      <items>
        <item x="0"/>
        <item x="1"/>
        <item x="2"/>
        <item x="3"/>
        <item x="4"/>
        <item x="5"/>
        <item t="default"/>
      </items>
    </pivotField>
    <pivotField name="Education" compact="0" outline="0" multipleItemSelectionAllowed="1" showAll="0">
      <items>
        <item x="0"/>
        <item x="1"/>
        <item x="2"/>
        <item t="default"/>
      </items>
    </pivotField>
    <pivotField name="Attrition" axis="axisCol" compact="0" outline="0" multipleItemSelectionAllowed="1" showAll="0" sortType="ascending">
      <items>
        <item x="1"/>
        <item x="0"/>
        <item t="default"/>
      </items>
    </pivotField>
    <pivotField name="Performance_Rating" compact="0" outline="0" multipleItemSelectionAllowed="1" showAll="0">
      <items>
        <item x="0"/>
        <item x="1"/>
        <item x="2"/>
        <item x="3"/>
        <item x="4"/>
        <item t="default"/>
      </items>
    </pivotField>
    <pivotField name="Joining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t="default"/>
      </items>
    </pivotField>
    <pivotField name="Month" compact="0" outline="0" multipleItemSelectionAllowed="1" showAll="0">
      <items>
        <item x="0"/>
        <item x="1"/>
        <item x="2"/>
        <item x="3"/>
        <item x="4"/>
        <item x="5"/>
        <item x="6"/>
        <item x="7"/>
        <item x="8"/>
        <item x="9"/>
        <item x="10"/>
        <item x="11"/>
        <item t="default"/>
      </items>
    </pivotField>
    <pivotField name="Year" compact="0" outline="0" multipleItemSelectionAllowed="1" showAll="0">
      <items>
        <item x="0"/>
        <item x="1"/>
        <item x="2"/>
        <item x="3"/>
        <item x="4"/>
        <item x="5"/>
        <item x="6"/>
        <item x="7"/>
        <item x="8"/>
        <item x="9"/>
        <item x="10"/>
        <item x="11"/>
        <item x="12"/>
        <item x="13"/>
        <item x="14"/>
        <item x="15"/>
        <item t="default"/>
      </items>
    </pivotField>
  </pivotFields>
  <rowFields>
    <field x="4"/>
  </rowFields>
  <colFields>
    <field x="10"/>
  </colFields>
  <dataFields>
    <dataField name="COUNT of Employee_ID" fld="0" subtotal="countNums" baseField="0"/>
  </dataFields>
</pivotTableDefinition>
</file>

<file path=xl/pivotTables/pivotTable2.xml><?xml version="1.0" encoding="utf-8"?>
<pivotTableDefinition xmlns="http://schemas.openxmlformats.org/spreadsheetml/2006/main" name="COUNTA of Name vs Location" cacheId="0" dataCaption="" compact="0" compactData="0">
  <location ref="A1:B8" firstHeaderRow="0" firstDataRow="1" firstDataCol="0"/>
  <pivotFields>
    <pivotField name="Employee_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ame="Nam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ender" compact="0" outline="0" multipleItemSelectionAllowed="1" showAll="0">
      <items>
        <item x="0"/>
        <item x="1"/>
        <item t="default"/>
      </items>
    </pivotField>
    <pivotField name="Department" compact="0" outline="0" multipleItemSelectionAllowed="1" showAll="0">
      <items>
        <item x="0"/>
        <item x="1"/>
        <item x="2"/>
        <item x="3"/>
        <item x="4"/>
        <item x="5"/>
        <item t="default"/>
      </items>
    </pivotField>
    <pivotField name="Job_Role" compact="0" outline="0" multipleItemSelectionAllowed="1" showAll="0">
      <items>
        <item x="0"/>
        <item x="1"/>
        <item x="2"/>
        <item x="3"/>
        <item x="4"/>
        <item t="default"/>
      </items>
    </pivotField>
    <pivotField name="Experience_Years" compact="0" outline="0" multipleItemSelectionAllowed="1" showAll="0">
      <items>
        <item x="0"/>
        <item x="1"/>
        <item x="2"/>
        <item x="3"/>
        <item x="4"/>
        <item x="5"/>
        <item x="6"/>
        <item x="7"/>
        <item x="8"/>
        <item x="9"/>
        <item x="10"/>
        <item x="11"/>
        <item x="12"/>
        <item x="13"/>
        <item x="14"/>
        <item x="15"/>
        <item t="default"/>
      </items>
    </pivotField>
    <pivotField name="Sala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name="Location" axis="axisRow" compact="0" outline="0" multipleItemSelectionAllowed="1" showAll="0" sortType="ascending">
      <items>
        <item x="0"/>
        <item x="3"/>
        <item x="5"/>
        <item x="1"/>
        <item x="4"/>
        <item x="2"/>
        <item t="default"/>
      </items>
    </pivotField>
    <pivotField name="Education" compact="0" outline="0" multipleItemSelectionAllowed="1" showAll="0">
      <items>
        <item x="0"/>
        <item x="1"/>
        <item x="2"/>
        <item t="default"/>
      </items>
    </pivotField>
    <pivotField name="Attrition" compact="0" outline="0" multipleItemSelectionAllowed="1" showAll="0">
      <items>
        <item x="0"/>
        <item x="1"/>
        <item t="default"/>
      </items>
    </pivotField>
    <pivotField name="Performance_Rating" compact="0" outline="0" multipleItemSelectionAllowed="1" showAll="0">
      <items>
        <item x="0"/>
        <item x="1"/>
        <item x="2"/>
        <item x="3"/>
        <item x="4"/>
        <item t="default"/>
      </items>
    </pivotField>
    <pivotField name="Joining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t="default"/>
      </items>
    </pivotField>
    <pivotField name="Month" compact="0" outline="0" multipleItemSelectionAllowed="1" showAll="0">
      <items>
        <item x="0"/>
        <item x="1"/>
        <item x="2"/>
        <item x="3"/>
        <item x="4"/>
        <item x="5"/>
        <item x="6"/>
        <item x="7"/>
        <item x="8"/>
        <item x="9"/>
        <item x="10"/>
        <item x="11"/>
        <item t="default"/>
      </items>
    </pivotField>
    <pivotField name="Year" compact="0" outline="0" multipleItemSelectionAllowed="1" showAll="0">
      <items>
        <item x="0"/>
        <item x="1"/>
        <item x="2"/>
        <item x="3"/>
        <item x="4"/>
        <item x="5"/>
        <item x="6"/>
        <item x="7"/>
        <item x="8"/>
        <item x="9"/>
        <item x="10"/>
        <item x="11"/>
        <item x="12"/>
        <item x="13"/>
        <item x="14"/>
        <item x="15"/>
        <item t="default"/>
      </items>
    </pivotField>
  </pivotFields>
  <rowFields>
    <field x="8"/>
  </rowFields>
  <dataFields>
    <dataField name="COUNTA of Name" fld="1" subtotal="count" baseField="0"/>
  </dataFields>
</pivotTableDefinition>
</file>

<file path=xl/pivotTables/pivotTable3.xml><?xml version="1.0" encoding="utf-8"?>
<pivotTableDefinition xmlns="http://schemas.openxmlformats.org/spreadsheetml/2006/main" name="Year Hiring Trend" cacheId="0" dataCaption="" compact="0" compactData="0">
  <location ref="A1:H19" firstHeaderRow="0" firstDataRow="1" firstDataCol="1"/>
  <pivotFields>
    <pivotField name="Employee_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ender" compact="0" outline="0" multipleItemSelectionAllowed="1" showAll="0">
      <items>
        <item x="0"/>
        <item x="1"/>
        <item t="default"/>
      </items>
    </pivotField>
    <pivotField name="Department" axis="axisCol" compact="0" outline="0" multipleItemSelectionAllowed="1" showAll="0" sortType="ascending">
      <items>
        <item x="3"/>
        <item x="4"/>
        <item x="1"/>
        <item x="0"/>
        <item x="2"/>
        <item x="5"/>
        <item t="default"/>
      </items>
    </pivotField>
    <pivotField name="Job_Role" compact="0" outline="0" multipleItemSelectionAllowed="1" showAll="0">
      <items>
        <item x="0"/>
        <item x="1"/>
        <item x="2"/>
        <item x="3"/>
        <item x="4"/>
        <item t="default"/>
      </items>
    </pivotField>
    <pivotField name="Experience_Years" compact="0" outline="0" multipleItemSelectionAllowed="1" showAll="0">
      <items>
        <item x="0"/>
        <item x="1"/>
        <item x="2"/>
        <item x="3"/>
        <item x="4"/>
        <item x="5"/>
        <item x="6"/>
        <item x="7"/>
        <item x="8"/>
        <item x="9"/>
        <item x="10"/>
        <item x="11"/>
        <item x="12"/>
        <item x="13"/>
        <item x="14"/>
        <item x="15"/>
        <item t="default"/>
      </items>
    </pivotField>
    <pivotField name="Sala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name="Location" compact="0" outline="0" multipleItemSelectionAllowed="1" showAll="0">
      <items>
        <item x="0"/>
        <item x="1"/>
        <item x="2"/>
        <item x="3"/>
        <item x="4"/>
        <item x="5"/>
        <item t="default"/>
      </items>
    </pivotField>
    <pivotField name="Education" compact="0" outline="0" multipleItemSelectionAllowed="1" showAll="0">
      <items>
        <item x="0"/>
        <item x="1"/>
        <item x="2"/>
        <item t="default"/>
      </items>
    </pivotField>
    <pivotField name="Attrition" compact="0" outline="0" multipleItemSelectionAllowed="1" showAll="0">
      <items>
        <item x="0"/>
        <item x="1"/>
        <item t="default"/>
      </items>
    </pivotField>
    <pivotField name="Performance_Rating" compact="0" outline="0" multipleItemSelectionAllowed="1" showAll="0">
      <items>
        <item x="0"/>
        <item x="1"/>
        <item x="2"/>
        <item x="3"/>
        <item x="4"/>
        <item t="default"/>
      </items>
    </pivotField>
    <pivotField name="Joining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t="default"/>
      </items>
    </pivotField>
    <pivotField name="Month" compact="0" outline="0" multipleItemSelectionAllowed="1" showAll="0">
      <items>
        <item x="0"/>
        <item x="1"/>
        <item x="2"/>
        <item x="3"/>
        <item x="4"/>
        <item x="5"/>
        <item x="6"/>
        <item x="7"/>
        <item x="8"/>
        <item x="9"/>
        <item x="10"/>
        <item x="11"/>
        <item t="default"/>
      </items>
    </pivotField>
    <pivotField name="Year" axis="axisRow" compact="0" outline="0" multipleItemSelectionAllowed="1" showAll="0" sortType="ascending">
      <items>
        <item x="3"/>
        <item x="10"/>
        <item x="13"/>
        <item x="9"/>
        <item x="1"/>
        <item x="4"/>
        <item x="6"/>
        <item x="11"/>
        <item x="2"/>
        <item x="0"/>
        <item x="12"/>
        <item x="14"/>
        <item x="8"/>
        <item x="5"/>
        <item x="7"/>
        <item x="15"/>
        <item t="default"/>
      </items>
    </pivotField>
  </pivotFields>
  <rowFields>
    <field x="14"/>
  </rowFields>
  <colFields>
    <field x="4"/>
  </colFields>
  <dataFields>
    <dataField name="COUNTA of Employee_ID" fld="0" subtotal="count" baseField="0"/>
  </dataFields>
</pivotTableDefinition>
</file>

<file path=xl/pivotTables/pivotTable4.xml><?xml version="1.0" encoding="utf-8"?>
<pivotTableDefinition xmlns="http://schemas.openxmlformats.org/spreadsheetml/2006/main" name="Pivot Table 5" cacheId="1" dataCaption="" compact="0" compactData="0">
  <location ref="A1:B7" firstHeaderRow="0" firstDataRow="1" firstDataCol="0"/>
  <pivotFields>
    <pivotField name="Employee_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ender" compact="0" outline="0" multipleItemSelectionAllowed="1" showAll="0">
      <items>
        <item x="0"/>
        <item x="1"/>
        <item t="default"/>
      </items>
    </pivotField>
    <pivotField name="Department" compact="0" outline="0" multipleItemSelectionAllowed="1" showAll="0">
      <items>
        <item x="0"/>
        <item x="1"/>
        <item x="2"/>
        <item x="3"/>
        <item x="4"/>
        <item x="5"/>
        <item t="default"/>
      </items>
    </pivotField>
    <pivotField name="Job_Role" axis="axisRow" compact="0" outline="0" multipleItemSelectionAllowed="1" showAll="0" sortType="descending">
      <items>
        <item x="3"/>
        <item x="0"/>
        <item x="4"/>
        <item x="1"/>
        <item x="2"/>
        <item t="default"/>
      </items>
    </pivotField>
    <pivotField name="Experience_Years" compact="0" outline="0" multipleItemSelectionAllowed="1" showAll="0">
      <items>
        <item x="0"/>
        <item x="1"/>
        <item x="2"/>
        <item x="3"/>
        <item x="4"/>
        <item x="5"/>
        <item x="6"/>
        <item x="7"/>
        <item x="8"/>
        <item x="9"/>
        <item x="10"/>
        <item x="11"/>
        <item x="12"/>
        <item x="13"/>
        <item x="14"/>
        <item x="15"/>
        <item t="default"/>
      </items>
    </pivotField>
    <pivotField name="Salary"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name="Location" compact="0" outline="0" multipleItemSelectionAllowed="1" showAll="0">
      <items>
        <item x="0"/>
        <item x="1"/>
        <item x="2"/>
        <item x="3"/>
        <item x="4"/>
        <item x="5"/>
        <item t="default"/>
      </items>
    </pivotField>
    <pivotField name="Education" compact="0" outline="0" multipleItemSelectionAllowed="1" showAll="0">
      <items>
        <item x="0"/>
        <item x="1"/>
        <item x="2"/>
        <item t="default"/>
      </items>
    </pivotField>
    <pivotField name="Attrition" compact="0" outline="0" multipleItemSelectionAllowed="1" showAll="0">
      <items>
        <item x="0"/>
        <item x="1"/>
        <item t="default"/>
      </items>
    </pivotField>
    <pivotField name="Performance_Rating" compact="0" outline="0" multipleItemSelectionAllowed="1" showAll="0">
      <items>
        <item x="0"/>
        <item x="1"/>
        <item x="2"/>
        <item x="3"/>
        <item x="4"/>
        <item t="default"/>
      </items>
    </pivotField>
    <pivotField name="Joining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t="default"/>
      </items>
    </pivotField>
  </pivotFields>
  <rowFields>
    <field x="5"/>
  </rowFields>
  <dataFields>
    <dataField name="AVERAGE of Salary" fld="7" subtotal="average" baseField="0"/>
  </dataFields>
</pivotTableDefinition>
</file>

<file path=xl/pivotTables/pivotTable5.xml><?xml version="1.0" encoding="utf-8"?>
<pivotTableDefinition xmlns="http://schemas.openxmlformats.org/spreadsheetml/2006/main" name="Pivot Table 2" cacheId="1" dataCaption="" compact="0" compactData="0">
  <location ref="A1:B8" firstHeaderRow="0" firstDataRow="1" firstDataCol="0"/>
  <pivotFields>
    <pivotField name="Employee_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ender" compact="0" outline="0" multipleItemSelectionAllowed="1" showAll="0">
      <items>
        <item x="0"/>
        <item x="1"/>
        <item t="default"/>
      </items>
    </pivotField>
    <pivotField name="Department" axis="axisRow" compact="0" outline="0" multipleItemSelectionAllowed="1" showAll="0" sortType="ascending">
      <items>
        <item x="3"/>
        <item x="4"/>
        <item x="1"/>
        <item x="0"/>
        <item x="2"/>
        <item x="5"/>
        <item t="default"/>
      </items>
    </pivotField>
    <pivotField name="Job_Role" compact="0" outline="0" multipleItemSelectionAllowed="1" showAll="0">
      <items>
        <item x="0"/>
        <item x="1"/>
        <item x="2"/>
        <item x="3"/>
        <item x="4"/>
        <item t="default"/>
      </items>
    </pivotField>
    <pivotField name="Experience_Years" compact="0" outline="0" multipleItemSelectionAllowed="1" showAll="0">
      <items>
        <item x="0"/>
        <item x="1"/>
        <item x="2"/>
        <item x="3"/>
        <item x="4"/>
        <item x="5"/>
        <item x="6"/>
        <item x="7"/>
        <item x="8"/>
        <item x="9"/>
        <item x="10"/>
        <item x="11"/>
        <item x="12"/>
        <item x="13"/>
        <item x="14"/>
        <item x="15"/>
        <item t="default"/>
      </items>
    </pivotField>
    <pivotField name="Sala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name="Location" compact="0" outline="0" multipleItemSelectionAllowed="1" showAll="0">
      <items>
        <item x="0"/>
        <item x="1"/>
        <item x="2"/>
        <item x="3"/>
        <item x="4"/>
        <item x="5"/>
        <item t="default"/>
      </items>
    </pivotField>
    <pivotField name="Education" compact="0" outline="0" multipleItemSelectionAllowed="1" showAll="0">
      <items>
        <item x="0"/>
        <item x="1"/>
        <item x="2"/>
        <item t="default"/>
      </items>
    </pivotField>
    <pivotField name="Attrition" compact="0" outline="0" multipleItemSelectionAllowed="1" showAll="0">
      <items>
        <item x="0"/>
        <item x="1"/>
        <item t="default"/>
      </items>
    </pivotField>
    <pivotField name="Performance_Rating" compact="0" outline="0" multipleItemSelectionAllowed="1" showAll="0">
      <items>
        <item x="0"/>
        <item x="1"/>
        <item x="2"/>
        <item x="3"/>
        <item x="4"/>
        <item t="default"/>
      </items>
    </pivotField>
    <pivotField name="Joining_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t="default"/>
      </items>
    </pivotField>
  </pivotFields>
  <rowFields>
    <field x="4"/>
  </rowFields>
  <dataFields>
    <dataField name="COUNT of Employee_ID" fld="0" subtotal="countNums"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4" sourceName="Gender">
  <x14:extLst>
    <ext uri="{2F2917AC-EB37-4324-AD4E-5DD8C200BD13}">
      <x15:tableSlicerCache tableId="1" column="4"/>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5" sourceName="Department">
  <x14:extLst>
    <ext uri="{2F2917AC-EB37-4324-AD4E-5DD8C200BD13}">
      <x15:tableSlicerCache tableId="1" column="5"/>
    </ext>
  </x14:extLst>
</x14:slicerCacheDefinition>
</file>

<file path=xl/slicerCaches/slicerCache3.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9" sourceName="Location">
  <x14:extLst>
    <ext uri="{2F2917AC-EB37-4324-AD4E-5DD8C200BD13}">
      <x15:tableSlicerCache tableId="1" column="9"/>
    </ext>
  </x14:extLst>
</x14:slicerCacheDefinition>
</file>

<file path=xl/slicerCaches/slicerCache4.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5" sourceName="Year">
  <x14:extLst>
    <ext uri="{2F2917AC-EB37-4324-AD4E-5DD8C200BD13}">
      <x15:tableSlicerCache tableId="1" column="15"/>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Department_1" cache="SlicerCache_Table_1_Col_5" caption="Department" rowHeight="247650"/>
  <x14:slicer name="Year_2" cache="SlicerCache_Table_1_Col_15" caption="Year" rowHeight="247650"/>
  <x14:slicer name="Gender_3" cache="SlicerCache_Table_1_Col_4" caption="Gender" rowHeight="247650"/>
</x14:slicers>
</file>

<file path=xl/slicers/slicer2.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Gender_4" cache="SlicerCache_Table_1_Col_4" caption="Gender" rowHeight="247650"/>
</x14:slicers>
</file>

<file path=xl/slicers/slicer3.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Department_5" cache="SlicerCache_Table_1_Col_5" caption="Department" rowHeight="247650"/>
  <x14:slicer name="Year_6" cache="SlicerCache_Table_1_Col_15" caption="Year" rowHeight="247650"/>
  <x14:slicer name="Gender_7" cache="SlicerCache_Table_1_Col_4" caption="Gender" rowHeight="247650"/>
  <x14:slicer name="Location_8" cache="SlicerCache_Table_1_Col_9" caption="Location" rowHeight="247650"/>
</x14:slicers>
</file>

<file path=xl/tables/table1.xml><?xml version="1.0" encoding="utf-8"?>
<table xmlns="http://schemas.openxmlformats.org/spreadsheetml/2006/main" ref="A1:O501" displayName="Table_1" name="Table_1" id="1">
  <autoFilter ref="$A$1:$O$501"/>
  <tableColumns count="15">
    <tableColumn name="Employee_ID" id="1"/>
    <tableColumn name="Name" id="2"/>
    <tableColumn name="Age" id="3"/>
    <tableColumn name="Gender" id="4"/>
    <tableColumn name="Department" id="5"/>
    <tableColumn name="Job_Role" id="6"/>
    <tableColumn name="Experience_Years" id="7"/>
    <tableColumn name="Salary" id="8"/>
    <tableColumn name="Location" id="9"/>
    <tableColumn name="Education" id="10"/>
    <tableColumn name="Attrition" id="11"/>
    <tableColumn name="Performance_Rating" id="12"/>
    <tableColumn name="Joining_Date" id="13"/>
    <tableColumn name="Month" id="14"/>
    <tableColumn name="Year" id="15"/>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 Id="rId3" Type="http://schemas.microsoft.com/office/2007/relationships/slicer" Target="../slicers/slicer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2" Type="http://schemas.microsoft.com/office/2007/relationships/slicer" Target="../slicers/slicer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17.38"/>
  </cols>
  <sheetData>
    <row r="1">
      <c r="A1" s="1" t="s">
        <v>0</v>
      </c>
      <c r="B1" s="1" t="s">
        <v>1</v>
      </c>
      <c r="C1" s="1" t="s">
        <v>2</v>
      </c>
      <c r="D1" s="1" t="s">
        <v>3</v>
      </c>
      <c r="E1" s="1" t="s">
        <v>4</v>
      </c>
      <c r="F1" s="1" t="s">
        <v>5</v>
      </c>
      <c r="G1" s="1" t="s">
        <v>6</v>
      </c>
      <c r="H1" s="1" t="s">
        <v>7</v>
      </c>
      <c r="I1" s="1" t="s">
        <v>8</v>
      </c>
      <c r="J1" s="1" t="s">
        <v>9</v>
      </c>
      <c r="K1" s="1" t="s">
        <v>10</v>
      </c>
      <c r="L1" s="1" t="s">
        <v>11</v>
      </c>
      <c r="M1" s="2" t="s">
        <v>12</v>
      </c>
      <c r="N1" s="1" t="s">
        <v>13</v>
      </c>
      <c r="O1" s="1" t="s">
        <v>14</v>
      </c>
    </row>
    <row r="2">
      <c r="A2" s="1">
        <v>1.0</v>
      </c>
      <c r="B2" s="1" t="s">
        <v>15</v>
      </c>
      <c r="C2" s="1">
        <v>40.0</v>
      </c>
      <c r="D2" s="1" t="s">
        <v>16</v>
      </c>
      <c r="E2" s="1" t="s">
        <v>17</v>
      </c>
      <c r="F2" s="1" t="s">
        <v>18</v>
      </c>
      <c r="G2" s="1">
        <v>6.0</v>
      </c>
      <c r="H2" s="1">
        <v>36968.0</v>
      </c>
      <c r="I2" s="1" t="s">
        <v>19</v>
      </c>
      <c r="J2" s="1" t="s">
        <v>20</v>
      </c>
      <c r="K2" s="1" t="s">
        <v>21</v>
      </c>
      <c r="L2" s="1">
        <v>2.0</v>
      </c>
      <c r="M2" s="3">
        <v>44036.0</v>
      </c>
      <c r="N2" s="4">
        <f t="shared" ref="N2:N501" si="1">MONTH(M2)</f>
        <v>7</v>
      </c>
      <c r="O2" s="4">
        <f t="shared" ref="O2:O501" si="2">YEAR(M2)</f>
        <v>2020</v>
      </c>
    </row>
    <row r="3">
      <c r="A3" s="1">
        <v>2.0</v>
      </c>
      <c r="B3" s="1" t="s">
        <v>22</v>
      </c>
      <c r="C3" s="1">
        <v>60.0</v>
      </c>
      <c r="D3" s="1" t="s">
        <v>23</v>
      </c>
      <c r="E3" s="1" t="s">
        <v>17</v>
      </c>
      <c r="F3" s="1" t="s">
        <v>24</v>
      </c>
      <c r="G3" s="1">
        <v>11.0</v>
      </c>
      <c r="H3" s="1">
        <v>36249.0</v>
      </c>
      <c r="I3" s="1" t="s">
        <v>25</v>
      </c>
      <c r="J3" s="1" t="s">
        <v>20</v>
      </c>
      <c r="K3" s="1" t="s">
        <v>26</v>
      </c>
      <c r="L3" s="1">
        <v>2.0</v>
      </c>
      <c r="M3" s="3">
        <v>42104.0</v>
      </c>
      <c r="N3" s="4">
        <f t="shared" si="1"/>
        <v>4</v>
      </c>
      <c r="O3" s="4">
        <f t="shared" si="2"/>
        <v>2015</v>
      </c>
    </row>
    <row r="4">
      <c r="A4" s="1">
        <v>3.0</v>
      </c>
      <c r="B4" s="1" t="s">
        <v>27</v>
      </c>
      <c r="C4" s="1">
        <v>37.0</v>
      </c>
      <c r="D4" s="1" t="s">
        <v>16</v>
      </c>
      <c r="E4" s="1" t="s">
        <v>28</v>
      </c>
      <c r="F4" s="1" t="s">
        <v>24</v>
      </c>
      <c r="G4" s="1">
        <v>7.0</v>
      </c>
      <c r="H4" s="1">
        <v>85099.0</v>
      </c>
      <c r="I4" s="1" t="s">
        <v>25</v>
      </c>
      <c r="J4" s="1" t="s">
        <v>29</v>
      </c>
      <c r="K4" s="1" t="s">
        <v>21</v>
      </c>
      <c r="L4" s="1">
        <v>2.0</v>
      </c>
      <c r="M4" s="3">
        <v>43562.0</v>
      </c>
      <c r="N4" s="4">
        <f t="shared" si="1"/>
        <v>4</v>
      </c>
      <c r="O4" s="4">
        <f t="shared" si="2"/>
        <v>2019</v>
      </c>
    </row>
    <row r="5">
      <c r="A5" s="1">
        <v>4.0</v>
      </c>
      <c r="B5" s="1" t="s">
        <v>30</v>
      </c>
      <c r="C5" s="1">
        <v>42.0</v>
      </c>
      <c r="D5" s="1" t="s">
        <v>23</v>
      </c>
      <c r="E5" s="1" t="s">
        <v>31</v>
      </c>
      <c r="F5" s="1" t="s">
        <v>32</v>
      </c>
      <c r="G5" s="1">
        <v>15.0</v>
      </c>
      <c r="H5" s="1">
        <v>107875.0</v>
      </c>
      <c r="I5" s="1" t="s">
        <v>33</v>
      </c>
      <c r="J5" s="1" t="s">
        <v>34</v>
      </c>
      <c r="K5" s="1" t="s">
        <v>26</v>
      </c>
      <c r="L5" s="1">
        <v>1.0</v>
      </c>
      <c r="M5" s="3">
        <v>40759.0</v>
      </c>
      <c r="N5" s="4">
        <f t="shared" si="1"/>
        <v>8</v>
      </c>
      <c r="O5" s="4">
        <f t="shared" si="2"/>
        <v>2011</v>
      </c>
    </row>
    <row r="6">
      <c r="A6" s="1">
        <v>5.0</v>
      </c>
      <c r="B6" s="1" t="s">
        <v>35</v>
      </c>
      <c r="C6" s="1">
        <v>53.0</v>
      </c>
      <c r="D6" s="1" t="s">
        <v>23</v>
      </c>
      <c r="E6" s="1" t="s">
        <v>36</v>
      </c>
      <c r="F6" s="1" t="s">
        <v>37</v>
      </c>
      <c r="G6" s="1">
        <v>10.0</v>
      </c>
      <c r="H6" s="1">
        <v>37482.0</v>
      </c>
      <c r="I6" s="1" t="s">
        <v>38</v>
      </c>
      <c r="J6" s="1" t="s">
        <v>34</v>
      </c>
      <c r="K6" s="1" t="s">
        <v>21</v>
      </c>
      <c r="L6" s="1">
        <v>2.0</v>
      </c>
      <c r="M6" s="3">
        <v>42425.0</v>
      </c>
      <c r="N6" s="4">
        <f t="shared" si="1"/>
        <v>2</v>
      </c>
      <c r="O6" s="4">
        <f t="shared" si="2"/>
        <v>2016</v>
      </c>
    </row>
    <row r="7">
      <c r="A7" s="1">
        <v>6.0</v>
      </c>
      <c r="B7" s="1" t="s">
        <v>15</v>
      </c>
      <c r="C7" s="1">
        <v>45.0</v>
      </c>
      <c r="D7" s="1" t="s">
        <v>16</v>
      </c>
      <c r="E7" s="1" t="s">
        <v>39</v>
      </c>
      <c r="F7" s="1" t="s">
        <v>24</v>
      </c>
      <c r="G7" s="1">
        <v>2.0</v>
      </c>
      <c r="H7" s="1">
        <v>61982.0</v>
      </c>
      <c r="I7" s="1" t="s">
        <v>33</v>
      </c>
      <c r="J7" s="1" t="s">
        <v>20</v>
      </c>
      <c r="K7" s="1" t="s">
        <v>26</v>
      </c>
      <c r="L7" s="1">
        <v>4.0</v>
      </c>
      <c r="M7" s="3">
        <v>45553.0</v>
      </c>
      <c r="N7" s="4">
        <f t="shared" si="1"/>
        <v>9</v>
      </c>
      <c r="O7" s="4">
        <f t="shared" si="2"/>
        <v>2024</v>
      </c>
    </row>
    <row r="8">
      <c r="A8" s="1">
        <v>7.0</v>
      </c>
      <c r="B8" s="1" t="s">
        <v>40</v>
      </c>
      <c r="C8" s="1">
        <v>56.0</v>
      </c>
      <c r="D8" s="1" t="s">
        <v>23</v>
      </c>
      <c r="E8" s="1" t="s">
        <v>36</v>
      </c>
      <c r="F8" s="1" t="s">
        <v>18</v>
      </c>
      <c r="G8" s="1">
        <v>10.0</v>
      </c>
      <c r="H8" s="1">
        <v>107728.0</v>
      </c>
      <c r="I8" s="1" t="s">
        <v>38</v>
      </c>
      <c r="J8" s="1" t="s">
        <v>34</v>
      </c>
      <c r="K8" s="1" t="s">
        <v>21</v>
      </c>
      <c r="L8" s="1">
        <v>1.0</v>
      </c>
      <c r="M8" s="3">
        <v>42695.0</v>
      </c>
      <c r="N8" s="4">
        <f t="shared" si="1"/>
        <v>11</v>
      </c>
      <c r="O8" s="4">
        <f t="shared" si="2"/>
        <v>2016</v>
      </c>
    </row>
    <row r="9">
      <c r="A9" s="1">
        <v>8.0</v>
      </c>
      <c r="B9" s="1" t="s">
        <v>41</v>
      </c>
      <c r="C9" s="1">
        <v>27.0</v>
      </c>
      <c r="D9" s="1" t="s">
        <v>16</v>
      </c>
      <c r="E9" s="1" t="s">
        <v>42</v>
      </c>
      <c r="F9" s="1" t="s">
        <v>32</v>
      </c>
      <c r="G9" s="1">
        <v>10.0</v>
      </c>
      <c r="H9" s="1">
        <v>86757.0</v>
      </c>
      <c r="I9" s="1" t="s">
        <v>43</v>
      </c>
      <c r="J9" s="1" t="s">
        <v>29</v>
      </c>
      <c r="K9" s="1" t="s">
        <v>21</v>
      </c>
      <c r="L9" s="1">
        <v>3.0</v>
      </c>
      <c r="M9" s="3">
        <v>42455.0</v>
      </c>
      <c r="N9" s="4">
        <f t="shared" si="1"/>
        <v>3</v>
      </c>
      <c r="O9" s="4">
        <f t="shared" si="2"/>
        <v>2016</v>
      </c>
    </row>
    <row r="10">
      <c r="A10" s="1">
        <v>9.0</v>
      </c>
      <c r="B10" s="1" t="s">
        <v>27</v>
      </c>
      <c r="C10" s="1">
        <v>57.0</v>
      </c>
      <c r="D10" s="1" t="s">
        <v>16</v>
      </c>
      <c r="E10" s="1" t="s">
        <v>42</v>
      </c>
      <c r="F10" s="1" t="s">
        <v>18</v>
      </c>
      <c r="G10" s="1">
        <v>11.0</v>
      </c>
      <c r="H10" s="1">
        <v>100034.0</v>
      </c>
      <c r="I10" s="1" t="s">
        <v>43</v>
      </c>
      <c r="J10" s="1" t="s">
        <v>20</v>
      </c>
      <c r="K10" s="1" t="s">
        <v>26</v>
      </c>
      <c r="L10" s="1">
        <v>5.0</v>
      </c>
      <c r="M10" s="3">
        <v>42052.0</v>
      </c>
      <c r="N10" s="4">
        <f t="shared" si="1"/>
        <v>2</v>
      </c>
      <c r="O10" s="4">
        <f t="shared" si="2"/>
        <v>2015</v>
      </c>
    </row>
    <row r="11">
      <c r="A11" s="1">
        <v>10.0</v>
      </c>
      <c r="B11" s="1" t="s">
        <v>44</v>
      </c>
      <c r="C11" s="1">
        <v>56.0</v>
      </c>
      <c r="D11" s="1" t="s">
        <v>16</v>
      </c>
      <c r="E11" s="1" t="s">
        <v>17</v>
      </c>
      <c r="F11" s="1" t="s">
        <v>18</v>
      </c>
      <c r="G11" s="1">
        <v>9.0</v>
      </c>
      <c r="H11" s="1">
        <v>60448.0</v>
      </c>
      <c r="I11" s="1" t="s">
        <v>43</v>
      </c>
      <c r="J11" s="1" t="s">
        <v>29</v>
      </c>
      <c r="K11" s="1" t="s">
        <v>21</v>
      </c>
      <c r="L11" s="1">
        <v>1.0</v>
      </c>
      <c r="M11" s="3">
        <v>42806.0</v>
      </c>
      <c r="N11" s="4">
        <f t="shared" si="1"/>
        <v>3</v>
      </c>
      <c r="O11" s="4">
        <f t="shared" si="2"/>
        <v>2017</v>
      </c>
    </row>
    <row r="12">
      <c r="A12" s="1">
        <v>11.0</v>
      </c>
      <c r="B12" s="1" t="s">
        <v>45</v>
      </c>
      <c r="C12" s="1">
        <v>42.0</v>
      </c>
      <c r="D12" s="1" t="s">
        <v>23</v>
      </c>
      <c r="E12" s="1" t="s">
        <v>17</v>
      </c>
      <c r="F12" s="1" t="s">
        <v>18</v>
      </c>
      <c r="G12" s="1">
        <v>10.0</v>
      </c>
      <c r="H12" s="1">
        <v>42104.0</v>
      </c>
      <c r="I12" s="1" t="s">
        <v>19</v>
      </c>
      <c r="J12" s="1" t="s">
        <v>20</v>
      </c>
      <c r="K12" s="1" t="s">
        <v>21</v>
      </c>
      <c r="L12" s="1">
        <v>3.0</v>
      </c>
      <c r="M12" s="3">
        <v>42504.0</v>
      </c>
      <c r="N12" s="4">
        <f t="shared" si="1"/>
        <v>5</v>
      </c>
      <c r="O12" s="4">
        <f t="shared" si="2"/>
        <v>2016</v>
      </c>
    </row>
    <row r="13">
      <c r="A13" s="1">
        <v>12.0</v>
      </c>
      <c r="B13" s="1" t="s">
        <v>46</v>
      </c>
      <c r="C13" s="1">
        <v>60.0</v>
      </c>
      <c r="D13" s="1" t="s">
        <v>16</v>
      </c>
      <c r="E13" s="1" t="s">
        <v>36</v>
      </c>
      <c r="F13" s="1" t="s">
        <v>18</v>
      </c>
      <c r="G13" s="1">
        <v>1.0</v>
      </c>
      <c r="H13" s="1">
        <v>82905.0</v>
      </c>
      <c r="I13" s="1" t="s">
        <v>38</v>
      </c>
      <c r="J13" s="1" t="s">
        <v>20</v>
      </c>
      <c r="K13" s="1" t="s">
        <v>21</v>
      </c>
      <c r="L13" s="1">
        <v>3.0</v>
      </c>
      <c r="M13" s="3">
        <v>45671.0</v>
      </c>
      <c r="N13" s="4">
        <f t="shared" si="1"/>
        <v>1</v>
      </c>
      <c r="O13" s="4">
        <f t="shared" si="2"/>
        <v>2025</v>
      </c>
    </row>
    <row r="14">
      <c r="A14" s="1">
        <v>13.0</v>
      </c>
      <c r="B14" s="1" t="s">
        <v>47</v>
      </c>
      <c r="C14" s="1">
        <v>24.0</v>
      </c>
      <c r="D14" s="1" t="s">
        <v>23</v>
      </c>
      <c r="E14" s="1" t="s">
        <v>17</v>
      </c>
      <c r="F14" s="1" t="s">
        <v>37</v>
      </c>
      <c r="G14" s="1">
        <v>3.0</v>
      </c>
      <c r="H14" s="1">
        <v>109052.0</v>
      </c>
      <c r="I14" s="1" t="s">
        <v>33</v>
      </c>
      <c r="J14" s="1" t="s">
        <v>20</v>
      </c>
      <c r="K14" s="1" t="s">
        <v>26</v>
      </c>
      <c r="L14" s="1">
        <v>1.0</v>
      </c>
      <c r="M14" s="3">
        <v>44959.0</v>
      </c>
      <c r="N14" s="4">
        <f t="shared" si="1"/>
        <v>2</v>
      </c>
      <c r="O14" s="4">
        <f t="shared" si="2"/>
        <v>2023</v>
      </c>
    </row>
    <row r="15">
      <c r="A15" s="1">
        <v>14.0</v>
      </c>
      <c r="B15" s="1" t="s">
        <v>48</v>
      </c>
      <c r="C15" s="1">
        <v>36.0</v>
      </c>
      <c r="D15" s="1" t="s">
        <v>23</v>
      </c>
      <c r="E15" s="1" t="s">
        <v>28</v>
      </c>
      <c r="F15" s="1" t="s">
        <v>49</v>
      </c>
      <c r="G15" s="1">
        <v>12.0</v>
      </c>
      <c r="H15" s="1">
        <v>53731.0</v>
      </c>
      <c r="I15" s="1" t="s">
        <v>33</v>
      </c>
      <c r="J15" s="1" t="s">
        <v>34</v>
      </c>
      <c r="K15" s="1" t="s">
        <v>21</v>
      </c>
      <c r="L15" s="1">
        <v>3.0</v>
      </c>
      <c r="M15" s="3">
        <v>41667.0</v>
      </c>
      <c r="N15" s="4">
        <f t="shared" si="1"/>
        <v>1</v>
      </c>
      <c r="O15" s="4">
        <f t="shared" si="2"/>
        <v>2014</v>
      </c>
    </row>
    <row r="16">
      <c r="A16" s="1">
        <v>15.0</v>
      </c>
      <c r="B16" s="1" t="s">
        <v>50</v>
      </c>
      <c r="C16" s="1">
        <v>59.0</v>
      </c>
      <c r="D16" s="1" t="s">
        <v>16</v>
      </c>
      <c r="E16" s="1" t="s">
        <v>36</v>
      </c>
      <c r="F16" s="1" t="s">
        <v>18</v>
      </c>
      <c r="G16" s="1">
        <v>6.0</v>
      </c>
      <c r="H16" s="1">
        <v>64795.0</v>
      </c>
      <c r="I16" s="1" t="s">
        <v>51</v>
      </c>
      <c r="J16" s="1" t="s">
        <v>20</v>
      </c>
      <c r="K16" s="1" t="s">
        <v>21</v>
      </c>
      <c r="L16" s="1">
        <v>1.0</v>
      </c>
      <c r="M16" s="3">
        <v>44191.0</v>
      </c>
      <c r="N16" s="4">
        <f t="shared" si="1"/>
        <v>12</v>
      </c>
      <c r="O16" s="4">
        <f t="shared" si="2"/>
        <v>2020</v>
      </c>
    </row>
    <row r="17">
      <c r="A17" s="1">
        <v>16.0</v>
      </c>
      <c r="B17" s="1" t="s">
        <v>52</v>
      </c>
      <c r="C17" s="1">
        <v>34.0</v>
      </c>
      <c r="D17" s="1" t="s">
        <v>23</v>
      </c>
      <c r="E17" s="1" t="s">
        <v>36</v>
      </c>
      <c r="F17" s="1" t="s">
        <v>37</v>
      </c>
      <c r="G17" s="1">
        <v>14.0</v>
      </c>
      <c r="H17" s="1">
        <v>90005.0</v>
      </c>
      <c r="I17" s="1" t="s">
        <v>38</v>
      </c>
      <c r="J17" s="1" t="s">
        <v>20</v>
      </c>
      <c r="K17" s="1" t="s">
        <v>26</v>
      </c>
      <c r="L17" s="1">
        <v>5.0</v>
      </c>
      <c r="M17" s="3">
        <v>41018.0</v>
      </c>
      <c r="N17" s="4">
        <f t="shared" si="1"/>
        <v>4</v>
      </c>
      <c r="O17" s="4">
        <f t="shared" si="2"/>
        <v>2012</v>
      </c>
    </row>
    <row r="18">
      <c r="A18" s="1">
        <v>17.0</v>
      </c>
      <c r="B18" s="1" t="s">
        <v>53</v>
      </c>
      <c r="C18" s="1">
        <v>41.0</v>
      </c>
      <c r="D18" s="1" t="s">
        <v>23</v>
      </c>
      <c r="E18" s="1" t="s">
        <v>36</v>
      </c>
      <c r="F18" s="1" t="s">
        <v>24</v>
      </c>
      <c r="G18" s="1">
        <v>12.0</v>
      </c>
      <c r="H18" s="1">
        <v>36631.0</v>
      </c>
      <c r="I18" s="1" t="s">
        <v>25</v>
      </c>
      <c r="J18" s="1" t="s">
        <v>20</v>
      </c>
      <c r="K18" s="1" t="s">
        <v>21</v>
      </c>
      <c r="L18" s="1">
        <v>2.0</v>
      </c>
      <c r="M18" s="3">
        <v>41692.0</v>
      </c>
      <c r="N18" s="4">
        <f t="shared" si="1"/>
        <v>2</v>
      </c>
      <c r="O18" s="4">
        <f t="shared" si="2"/>
        <v>2014</v>
      </c>
    </row>
    <row r="19">
      <c r="A19" s="1">
        <v>18.0</v>
      </c>
      <c r="B19" s="1" t="s">
        <v>54</v>
      </c>
      <c r="C19" s="1">
        <v>49.0</v>
      </c>
      <c r="D19" s="1" t="s">
        <v>23</v>
      </c>
      <c r="E19" s="1" t="s">
        <v>28</v>
      </c>
      <c r="F19" s="1" t="s">
        <v>37</v>
      </c>
      <c r="G19" s="1">
        <v>8.0</v>
      </c>
      <c r="H19" s="1">
        <v>31832.0</v>
      </c>
      <c r="I19" s="1" t="s">
        <v>25</v>
      </c>
      <c r="J19" s="1" t="s">
        <v>20</v>
      </c>
      <c r="K19" s="1" t="s">
        <v>21</v>
      </c>
      <c r="L19" s="1">
        <v>2.0</v>
      </c>
      <c r="M19" s="3">
        <v>43335.0</v>
      </c>
      <c r="N19" s="4">
        <f t="shared" si="1"/>
        <v>8</v>
      </c>
      <c r="O19" s="4">
        <f t="shared" si="2"/>
        <v>2018</v>
      </c>
    </row>
    <row r="20">
      <c r="A20" s="1">
        <v>19.0</v>
      </c>
      <c r="B20" s="1" t="s">
        <v>47</v>
      </c>
      <c r="C20" s="1">
        <v>28.0</v>
      </c>
      <c r="D20" s="1" t="s">
        <v>23</v>
      </c>
      <c r="E20" s="1" t="s">
        <v>39</v>
      </c>
      <c r="F20" s="1" t="s">
        <v>32</v>
      </c>
      <c r="G20" s="1">
        <v>12.0</v>
      </c>
      <c r="H20" s="1">
        <v>72364.0</v>
      </c>
      <c r="I20" s="1" t="s">
        <v>38</v>
      </c>
      <c r="J20" s="1" t="s">
        <v>20</v>
      </c>
      <c r="K20" s="1" t="s">
        <v>26</v>
      </c>
      <c r="L20" s="1">
        <v>2.0</v>
      </c>
      <c r="M20" s="3">
        <v>41725.0</v>
      </c>
      <c r="N20" s="4">
        <f t="shared" si="1"/>
        <v>3</v>
      </c>
      <c r="O20" s="4">
        <f t="shared" si="2"/>
        <v>2014</v>
      </c>
    </row>
    <row r="21">
      <c r="A21" s="1">
        <v>20.0</v>
      </c>
      <c r="B21" s="1" t="s">
        <v>55</v>
      </c>
      <c r="C21" s="1">
        <v>48.0</v>
      </c>
      <c r="D21" s="1" t="s">
        <v>23</v>
      </c>
      <c r="E21" s="1" t="s">
        <v>31</v>
      </c>
      <c r="F21" s="1" t="s">
        <v>49</v>
      </c>
      <c r="G21" s="1">
        <v>11.0</v>
      </c>
      <c r="H21" s="1">
        <v>72005.0</v>
      </c>
      <c r="I21" s="1" t="s">
        <v>38</v>
      </c>
      <c r="J21" s="1" t="s">
        <v>20</v>
      </c>
      <c r="K21" s="1" t="s">
        <v>21</v>
      </c>
      <c r="L21" s="1">
        <v>2.0</v>
      </c>
      <c r="M21" s="3">
        <v>42269.0</v>
      </c>
      <c r="N21" s="4">
        <f t="shared" si="1"/>
        <v>9</v>
      </c>
      <c r="O21" s="4">
        <f t="shared" si="2"/>
        <v>2015</v>
      </c>
    </row>
    <row r="22">
      <c r="A22" s="1">
        <v>21.0</v>
      </c>
      <c r="B22" s="1" t="s">
        <v>56</v>
      </c>
      <c r="C22" s="1">
        <v>40.0</v>
      </c>
      <c r="D22" s="1" t="s">
        <v>16</v>
      </c>
      <c r="E22" s="1" t="s">
        <v>36</v>
      </c>
      <c r="F22" s="1" t="s">
        <v>37</v>
      </c>
      <c r="G22" s="1">
        <v>5.0</v>
      </c>
      <c r="H22" s="1">
        <v>78070.0</v>
      </c>
      <c r="I22" s="1" t="s">
        <v>25</v>
      </c>
      <c r="J22" s="1" t="s">
        <v>20</v>
      </c>
      <c r="K22" s="1" t="s">
        <v>26</v>
      </c>
      <c r="L22" s="1">
        <v>4.0</v>
      </c>
      <c r="M22" s="3">
        <v>44435.0</v>
      </c>
      <c r="N22" s="4">
        <f t="shared" si="1"/>
        <v>8</v>
      </c>
      <c r="O22" s="4">
        <f t="shared" si="2"/>
        <v>2021</v>
      </c>
    </row>
    <row r="23">
      <c r="A23" s="1">
        <v>22.0</v>
      </c>
      <c r="B23" s="1" t="s">
        <v>57</v>
      </c>
      <c r="C23" s="1">
        <v>55.0</v>
      </c>
      <c r="D23" s="1" t="s">
        <v>16</v>
      </c>
      <c r="E23" s="1" t="s">
        <v>36</v>
      </c>
      <c r="F23" s="1" t="s">
        <v>37</v>
      </c>
      <c r="G23" s="1">
        <v>15.0</v>
      </c>
      <c r="H23" s="1">
        <v>50542.0</v>
      </c>
      <c r="I23" s="1" t="s">
        <v>51</v>
      </c>
      <c r="J23" s="1" t="s">
        <v>29</v>
      </c>
      <c r="K23" s="1" t="s">
        <v>21</v>
      </c>
      <c r="L23" s="1">
        <v>3.0</v>
      </c>
      <c r="M23" s="3">
        <v>40742.0</v>
      </c>
      <c r="N23" s="4">
        <f t="shared" si="1"/>
        <v>7</v>
      </c>
      <c r="O23" s="4">
        <f t="shared" si="2"/>
        <v>2011</v>
      </c>
    </row>
    <row r="24">
      <c r="A24" s="1">
        <v>23.0</v>
      </c>
      <c r="B24" s="1" t="s">
        <v>58</v>
      </c>
      <c r="C24" s="1">
        <v>24.0</v>
      </c>
      <c r="D24" s="1" t="s">
        <v>16</v>
      </c>
      <c r="E24" s="1" t="s">
        <v>42</v>
      </c>
      <c r="F24" s="1" t="s">
        <v>24</v>
      </c>
      <c r="G24" s="1">
        <v>2.0</v>
      </c>
      <c r="H24" s="1">
        <v>75213.0</v>
      </c>
      <c r="I24" s="1" t="s">
        <v>43</v>
      </c>
      <c r="J24" s="1" t="s">
        <v>29</v>
      </c>
      <c r="K24" s="1" t="s">
        <v>26</v>
      </c>
      <c r="L24" s="1">
        <v>5.0</v>
      </c>
      <c r="M24" s="3">
        <v>45615.0</v>
      </c>
      <c r="N24" s="4">
        <f t="shared" si="1"/>
        <v>11</v>
      </c>
      <c r="O24" s="4">
        <f t="shared" si="2"/>
        <v>2024</v>
      </c>
    </row>
    <row r="25">
      <c r="A25" s="1">
        <v>24.0</v>
      </c>
      <c r="B25" s="1" t="s">
        <v>59</v>
      </c>
      <c r="C25" s="1">
        <v>51.0</v>
      </c>
      <c r="D25" s="1" t="s">
        <v>16</v>
      </c>
      <c r="E25" s="1" t="s">
        <v>36</v>
      </c>
      <c r="F25" s="1" t="s">
        <v>24</v>
      </c>
      <c r="G25" s="1">
        <v>8.0</v>
      </c>
      <c r="H25" s="1">
        <v>35996.0</v>
      </c>
      <c r="I25" s="1" t="s">
        <v>19</v>
      </c>
      <c r="J25" s="1" t="s">
        <v>34</v>
      </c>
      <c r="K25" s="1" t="s">
        <v>21</v>
      </c>
      <c r="L25" s="1">
        <v>3.0</v>
      </c>
      <c r="M25" s="3">
        <v>43379.0</v>
      </c>
      <c r="N25" s="4">
        <f t="shared" si="1"/>
        <v>10</v>
      </c>
      <c r="O25" s="4">
        <f t="shared" si="2"/>
        <v>2018</v>
      </c>
    </row>
    <row r="26">
      <c r="A26" s="1">
        <v>25.0</v>
      </c>
      <c r="B26" s="1" t="s">
        <v>60</v>
      </c>
      <c r="C26" s="1">
        <v>28.0</v>
      </c>
      <c r="D26" s="1" t="s">
        <v>23</v>
      </c>
      <c r="E26" s="1" t="s">
        <v>17</v>
      </c>
      <c r="F26" s="1" t="s">
        <v>24</v>
      </c>
      <c r="G26" s="1">
        <v>8.0</v>
      </c>
      <c r="H26" s="1">
        <v>45024.0</v>
      </c>
      <c r="I26" s="1" t="s">
        <v>33</v>
      </c>
      <c r="J26" s="1" t="s">
        <v>20</v>
      </c>
      <c r="K26" s="1" t="s">
        <v>21</v>
      </c>
      <c r="L26" s="1">
        <v>2.0</v>
      </c>
      <c r="M26" s="3">
        <v>43205.0</v>
      </c>
      <c r="N26" s="4">
        <f t="shared" si="1"/>
        <v>4</v>
      </c>
      <c r="O26" s="4">
        <f t="shared" si="2"/>
        <v>2018</v>
      </c>
    </row>
    <row r="27">
      <c r="A27" s="1">
        <v>26.0</v>
      </c>
      <c r="B27" s="1" t="s">
        <v>61</v>
      </c>
      <c r="C27" s="1">
        <v>23.0</v>
      </c>
      <c r="D27" s="1" t="s">
        <v>23</v>
      </c>
      <c r="E27" s="1" t="s">
        <v>39</v>
      </c>
      <c r="F27" s="1" t="s">
        <v>24</v>
      </c>
      <c r="G27" s="1">
        <v>2.0</v>
      </c>
      <c r="H27" s="1">
        <v>73145.0</v>
      </c>
      <c r="I27" s="1" t="s">
        <v>19</v>
      </c>
      <c r="J27" s="1" t="s">
        <v>20</v>
      </c>
      <c r="K27" s="1" t="s">
        <v>21</v>
      </c>
      <c r="L27" s="1">
        <v>4.0</v>
      </c>
      <c r="M27" s="3">
        <v>45402.0</v>
      </c>
      <c r="N27" s="4">
        <f t="shared" si="1"/>
        <v>4</v>
      </c>
      <c r="O27" s="4">
        <f t="shared" si="2"/>
        <v>2024</v>
      </c>
    </row>
    <row r="28">
      <c r="A28" s="1">
        <v>27.0</v>
      </c>
      <c r="B28" s="1" t="s">
        <v>27</v>
      </c>
      <c r="C28" s="1">
        <v>54.0</v>
      </c>
      <c r="D28" s="1" t="s">
        <v>23</v>
      </c>
      <c r="E28" s="1" t="s">
        <v>28</v>
      </c>
      <c r="F28" s="1" t="s">
        <v>49</v>
      </c>
      <c r="G28" s="1">
        <v>13.0</v>
      </c>
      <c r="H28" s="1">
        <v>45788.0</v>
      </c>
      <c r="I28" s="1" t="s">
        <v>33</v>
      </c>
      <c r="J28" s="1" t="s">
        <v>34</v>
      </c>
      <c r="K28" s="1" t="s">
        <v>21</v>
      </c>
      <c r="L28" s="1">
        <v>3.0</v>
      </c>
      <c r="M28" s="3">
        <v>41400.0</v>
      </c>
      <c r="N28" s="4">
        <f t="shared" si="1"/>
        <v>5</v>
      </c>
      <c r="O28" s="4">
        <f t="shared" si="2"/>
        <v>2013</v>
      </c>
    </row>
    <row r="29">
      <c r="A29" s="1">
        <v>28.0</v>
      </c>
      <c r="B29" s="1" t="s">
        <v>62</v>
      </c>
      <c r="C29" s="1">
        <v>51.0</v>
      </c>
      <c r="D29" s="1" t="s">
        <v>23</v>
      </c>
      <c r="E29" s="1" t="s">
        <v>42</v>
      </c>
      <c r="F29" s="1" t="s">
        <v>49</v>
      </c>
      <c r="G29" s="1">
        <v>8.0</v>
      </c>
      <c r="H29" s="1">
        <v>64379.0</v>
      </c>
      <c r="I29" s="1" t="s">
        <v>19</v>
      </c>
      <c r="J29" s="1" t="s">
        <v>20</v>
      </c>
      <c r="K29" s="1" t="s">
        <v>21</v>
      </c>
      <c r="L29" s="1">
        <v>3.0</v>
      </c>
      <c r="M29" s="3">
        <v>43448.0</v>
      </c>
      <c r="N29" s="4">
        <f t="shared" si="1"/>
        <v>12</v>
      </c>
      <c r="O29" s="4">
        <f t="shared" si="2"/>
        <v>2018</v>
      </c>
    </row>
    <row r="30">
      <c r="A30" s="1">
        <v>29.0</v>
      </c>
      <c r="B30" s="1" t="s">
        <v>63</v>
      </c>
      <c r="C30" s="1">
        <v>56.0</v>
      </c>
      <c r="D30" s="1" t="s">
        <v>23</v>
      </c>
      <c r="E30" s="1" t="s">
        <v>17</v>
      </c>
      <c r="F30" s="1" t="s">
        <v>37</v>
      </c>
      <c r="G30" s="1">
        <v>5.0</v>
      </c>
      <c r="H30" s="1">
        <v>88644.0</v>
      </c>
      <c r="I30" s="1" t="s">
        <v>38</v>
      </c>
      <c r="J30" s="1" t="s">
        <v>20</v>
      </c>
      <c r="K30" s="1" t="s">
        <v>26</v>
      </c>
      <c r="L30" s="1">
        <v>1.0</v>
      </c>
      <c r="M30" s="3">
        <v>44239.0</v>
      </c>
      <c r="N30" s="4">
        <f t="shared" si="1"/>
        <v>2</v>
      </c>
      <c r="O30" s="4">
        <f t="shared" si="2"/>
        <v>2021</v>
      </c>
    </row>
    <row r="31">
      <c r="A31" s="1">
        <v>30.0</v>
      </c>
      <c r="B31" s="1" t="s">
        <v>64</v>
      </c>
      <c r="C31" s="1">
        <v>34.0</v>
      </c>
      <c r="D31" s="1" t="s">
        <v>16</v>
      </c>
      <c r="E31" s="1" t="s">
        <v>42</v>
      </c>
      <c r="F31" s="1" t="s">
        <v>32</v>
      </c>
      <c r="G31" s="1">
        <v>1.0</v>
      </c>
      <c r="H31" s="1">
        <v>110968.0</v>
      </c>
      <c r="I31" s="1" t="s">
        <v>19</v>
      </c>
      <c r="J31" s="1" t="s">
        <v>20</v>
      </c>
      <c r="K31" s="1" t="s">
        <v>26</v>
      </c>
      <c r="L31" s="1">
        <v>1.0</v>
      </c>
      <c r="M31" s="3">
        <v>45965.0</v>
      </c>
      <c r="N31" s="4">
        <f t="shared" si="1"/>
        <v>11</v>
      </c>
      <c r="O31" s="4">
        <f t="shared" si="2"/>
        <v>2025</v>
      </c>
    </row>
    <row r="32">
      <c r="A32" s="1">
        <v>31.0</v>
      </c>
      <c r="B32" s="1" t="s">
        <v>30</v>
      </c>
      <c r="C32" s="1">
        <v>55.0</v>
      </c>
      <c r="D32" s="1" t="s">
        <v>23</v>
      </c>
      <c r="E32" s="1" t="s">
        <v>31</v>
      </c>
      <c r="F32" s="1" t="s">
        <v>32</v>
      </c>
      <c r="G32" s="1">
        <v>3.0</v>
      </c>
      <c r="H32" s="1">
        <v>100516.0</v>
      </c>
      <c r="I32" s="1" t="s">
        <v>38</v>
      </c>
      <c r="J32" s="1" t="s">
        <v>29</v>
      </c>
      <c r="K32" s="1" t="s">
        <v>26</v>
      </c>
      <c r="L32" s="1">
        <v>2.0</v>
      </c>
      <c r="M32" s="3">
        <v>45211.0</v>
      </c>
      <c r="N32" s="4">
        <f t="shared" si="1"/>
        <v>10</v>
      </c>
      <c r="O32" s="4">
        <f t="shared" si="2"/>
        <v>2023</v>
      </c>
    </row>
    <row r="33">
      <c r="A33" s="1">
        <v>32.0</v>
      </c>
      <c r="B33" s="1" t="s">
        <v>65</v>
      </c>
      <c r="C33" s="1">
        <v>40.0</v>
      </c>
      <c r="D33" s="1" t="s">
        <v>16</v>
      </c>
      <c r="E33" s="1" t="s">
        <v>31</v>
      </c>
      <c r="F33" s="1" t="s">
        <v>32</v>
      </c>
      <c r="G33" s="1">
        <v>11.0</v>
      </c>
      <c r="H33" s="1">
        <v>25564.0</v>
      </c>
      <c r="I33" s="1" t="s">
        <v>19</v>
      </c>
      <c r="J33" s="1" t="s">
        <v>20</v>
      </c>
      <c r="K33" s="1" t="s">
        <v>26</v>
      </c>
      <c r="L33" s="1">
        <v>3.0</v>
      </c>
      <c r="M33" s="3">
        <v>42278.0</v>
      </c>
      <c r="N33" s="4">
        <f t="shared" si="1"/>
        <v>10</v>
      </c>
      <c r="O33" s="4">
        <f t="shared" si="2"/>
        <v>2015</v>
      </c>
    </row>
    <row r="34">
      <c r="A34" s="1">
        <v>33.0</v>
      </c>
      <c r="B34" s="1" t="s">
        <v>27</v>
      </c>
      <c r="C34" s="1">
        <v>30.0</v>
      </c>
      <c r="D34" s="1" t="s">
        <v>23</v>
      </c>
      <c r="E34" s="1" t="s">
        <v>36</v>
      </c>
      <c r="F34" s="1" t="s">
        <v>49</v>
      </c>
      <c r="G34" s="1">
        <v>12.0</v>
      </c>
      <c r="H34" s="1">
        <v>107523.0</v>
      </c>
      <c r="I34" s="1" t="s">
        <v>25</v>
      </c>
      <c r="J34" s="1" t="s">
        <v>34</v>
      </c>
      <c r="K34" s="1" t="s">
        <v>26</v>
      </c>
      <c r="L34" s="1">
        <v>3.0</v>
      </c>
      <c r="M34" s="3">
        <v>41693.0</v>
      </c>
      <c r="N34" s="4">
        <f t="shared" si="1"/>
        <v>2</v>
      </c>
      <c r="O34" s="4">
        <f t="shared" si="2"/>
        <v>2014</v>
      </c>
    </row>
    <row r="35">
      <c r="A35" s="1">
        <v>34.0</v>
      </c>
      <c r="B35" s="1" t="s">
        <v>46</v>
      </c>
      <c r="C35" s="1">
        <v>25.0</v>
      </c>
      <c r="D35" s="1" t="s">
        <v>23</v>
      </c>
      <c r="E35" s="1" t="s">
        <v>28</v>
      </c>
      <c r="F35" s="1" t="s">
        <v>37</v>
      </c>
      <c r="G35" s="1">
        <v>7.0</v>
      </c>
      <c r="H35" s="1">
        <v>106102.0</v>
      </c>
      <c r="I35" s="1" t="s">
        <v>33</v>
      </c>
      <c r="J35" s="1" t="s">
        <v>34</v>
      </c>
      <c r="K35" s="1" t="s">
        <v>26</v>
      </c>
      <c r="L35" s="1">
        <v>5.0</v>
      </c>
      <c r="M35" s="3">
        <v>43499.0</v>
      </c>
      <c r="N35" s="4">
        <f t="shared" si="1"/>
        <v>2</v>
      </c>
      <c r="O35" s="4">
        <f t="shared" si="2"/>
        <v>2019</v>
      </c>
    </row>
    <row r="36">
      <c r="A36" s="1">
        <v>35.0</v>
      </c>
      <c r="B36" s="1" t="s">
        <v>66</v>
      </c>
      <c r="C36" s="1">
        <v>36.0</v>
      </c>
      <c r="D36" s="1" t="s">
        <v>23</v>
      </c>
      <c r="E36" s="1" t="s">
        <v>31</v>
      </c>
      <c r="F36" s="1" t="s">
        <v>18</v>
      </c>
      <c r="G36" s="1">
        <v>2.0</v>
      </c>
      <c r="H36" s="1">
        <v>58776.0</v>
      </c>
      <c r="I36" s="1" t="s">
        <v>25</v>
      </c>
      <c r="J36" s="1" t="s">
        <v>20</v>
      </c>
      <c r="K36" s="1" t="s">
        <v>26</v>
      </c>
      <c r="L36" s="1">
        <v>4.0</v>
      </c>
      <c r="M36" s="3">
        <v>45335.0</v>
      </c>
      <c r="N36" s="4">
        <f t="shared" si="1"/>
        <v>2</v>
      </c>
      <c r="O36" s="4">
        <f t="shared" si="2"/>
        <v>2024</v>
      </c>
    </row>
    <row r="37">
      <c r="A37" s="1">
        <v>36.0</v>
      </c>
      <c r="B37" s="1" t="s">
        <v>67</v>
      </c>
      <c r="C37" s="1">
        <v>34.0</v>
      </c>
      <c r="D37" s="1" t="s">
        <v>23</v>
      </c>
      <c r="E37" s="1" t="s">
        <v>31</v>
      </c>
      <c r="F37" s="1" t="s">
        <v>32</v>
      </c>
      <c r="G37" s="1">
        <v>14.0</v>
      </c>
      <c r="H37" s="1">
        <v>85721.0</v>
      </c>
      <c r="I37" s="1" t="s">
        <v>38</v>
      </c>
      <c r="J37" s="1" t="s">
        <v>34</v>
      </c>
      <c r="K37" s="1" t="s">
        <v>21</v>
      </c>
      <c r="L37" s="1">
        <v>2.0</v>
      </c>
      <c r="M37" s="3">
        <v>41239.0</v>
      </c>
      <c r="N37" s="4">
        <f t="shared" si="1"/>
        <v>11</v>
      </c>
      <c r="O37" s="4">
        <f t="shared" si="2"/>
        <v>2012</v>
      </c>
    </row>
    <row r="38">
      <c r="A38" s="1">
        <v>37.0</v>
      </c>
      <c r="B38" s="1" t="s">
        <v>68</v>
      </c>
      <c r="C38" s="1">
        <v>25.0</v>
      </c>
      <c r="D38" s="1" t="s">
        <v>16</v>
      </c>
      <c r="E38" s="1" t="s">
        <v>28</v>
      </c>
      <c r="F38" s="1" t="s">
        <v>24</v>
      </c>
      <c r="G38" s="1">
        <v>12.0</v>
      </c>
      <c r="H38" s="1">
        <v>118456.0</v>
      </c>
      <c r="I38" s="1" t="s">
        <v>43</v>
      </c>
      <c r="J38" s="1" t="s">
        <v>20</v>
      </c>
      <c r="K38" s="1" t="s">
        <v>26</v>
      </c>
      <c r="L38" s="1">
        <v>1.0</v>
      </c>
      <c r="M38" s="3">
        <v>41808.0</v>
      </c>
      <c r="N38" s="4">
        <f t="shared" si="1"/>
        <v>6</v>
      </c>
      <c r="O38" s="4">
        <f t="shared" si="2"/>
        <v>2014</v>
      </c>
    </row>
    <row r="39">
      <c r="A39" s="1">
        <v>38.0</v>
      </c>
      <c r="B39" s="1" t="s">
        <v>69</v>
      </c>
      <c r="C39" s="1">
        <v>31.0</v>
      </c>
      <c r="D39" s="1" t="s">
        <v>23</v>
      </c>
      <c r="E39" s="1" t="s">
        <v>36</v>
      </c>
      <c r="F39" s="1" t="s">
        <v>49</v>
      </c>
      <c r="G39" s="1">
        <v>14.0</v>
      </c>
      <c r="H39" s="1">
        <v>112403.0</v>
      </c>
      <c r="I39" s="1" t="s">
        <v>43</v>
      </c>
      <c r="J39" s="1" t="s">
        <v>34</v>
      </c>
      <c r="K39" s="1" t="s">
        <v>26</v>
      </c>
      <c r="L39" s="1">
        <v>5.0</v>
      </c>
      <c r="M39" s="3">
        <v>41189.0</v>
      </c>
      <c r="N39" s="4">
        <f t="shared" si="1"/>
        <v>10</v>
      </c>
      <c r="O39" s="4">
        <f t="shared" si="2"/>
        <v>2012</v>
      </c>
    </row>
    <row r="40">
      <c r="A40" s="1">
        <v>39.0</v>
      </c>
      <c r="B40" s="1" t="s">
        <v>30</v>
      </c>
      <c r="C40" s="1">
        <v>23.0</v>
      </c>
      <c r="D40" s="1" t="s">
        <v>23</v>
      </c>
      <c r="E40" s="1" t="s">
        <v>39</v>
      </c>
      <c r="F40" s="1" t="s">
        <v>49</v>
      </c>
      <c r="G40" s="1">
        <v>14.0</v>
      </c>
      <c r="H40" s="1">
        <v>59300.0</v>
      </c>
      <c r="I40" s="1" t="s">
        <v>19</v>
      </c>
      <c r="J40" s="1" t="s">
        <v>34</v>
      </c>
      <c r="K40" s="1" t="s">
        <v>21</v>
      </c>
      <c r="L40" s="1">
        <v>1.0</v>
      </c>
      <c r="M40" s="3">
        <v>40979.0</v>
      </c>
      <c r="N40" s="4">
        <f t="shared" si="1"/>
        <v>3</v>
      </c>
      <c r="O40" s="4">
        <f t="shared" si="2"/>
        <v>2012</v>
      </c>
    </row>
    <row r="41">
      <c r="A41" s="1">
        <v>40.0</v>
      </c>
      <c r="B41" s="1" t="s">
        <v>70</v>
      </c>
      <c r="C41" s="1">
        <v>50.0</v>
      </c>
      <c r="D41" s="1" t="s">
        <v>23</v>
      </c>
      <c r="E41" s="1" t="s">
        <v>42</v>
      </c>
      <c r="F41" s="1" t="s">
        <v>37</v>
      </c>
      <c r="G41" s="1">
        <v>13.0</v>
      </c>
      <c r="H41" s="1">
        <v>40770.0</v>
      </c>
      <c r="I41" s="1" t="s">
        <v>51</v>
      </c>
      <c r="J41" s="1" t="s">
        <v>29</v>
      </c>
      <c r="K41" s="1" t="s">
        <v>21</v>
      </c>
      <c r="L41" s="1">
        <v>2.0</v>
      </c>
      <c r="M41" s="3">
        <v>41391.0</v>
      </c>
      <c r="N41" s="4">
        <f t="shared" si="1"/>
        <v>4</v>
      </c>
      <c r="O41" s="4">
        <f t="shared" si="2"/>
        <v>2013</v>
      </c>
    </row>
    <row r="42">
      <c r="A42" s="1">
        <v>41.0</v>
      </c>
      <c r="B42" s="1" t="s">
        <v>71</v>
      </c>
      <c r="C42" s="1">
        <v>49.0</v>
      </c>
      <c r="D42" s="1" t="s">
        <v>16</v>
      </c>
      <c r="E42" s="1" t="s">
        <v>36</v>
      </c>
      <c r="F42" s="1" t="s">
        <v>37</v>
      </c>
      <c r="G42" s="1">
        <v>9.0</v>
      </c>
      <c r="H42" s="1">
        <v>33203.0</v>
      </c>
      <c r="I42" s="1" t="s">
        <v>38</v>
      </c>
      <c r="J42" s="1" t="s">
        <v>29</v>
      </c>
      <c r="K42" s="1" t="s">
        <v>26</v>
      </c>
      <c r="L42" s="1">
        <v>1.0</v>
      </c>
      <c r="M42" s="3">
        <v>42838.0</v>
      </c>
      <c r="N42" s="4">
        <f t="shared" si="1"/>
        <v>4</v>
      </c>
      <c r="O42" s="4">
        <f t="shared" si="2"/>
        <v>2017</v>
      </c>
    </row>
    <row r="43">
      <c r="A43" s="1">
        <v>42.0</v>
      </c>
      <c r="B43" s="1" t="s">
        <v>72</v>
      </c>
      <c r="C43" s="1">
        <v>43.0</v>
      </c>
      <c r="D43" s="1" t="s">
        <v>23</v>
      </c>
      <c r="E43" s="1" t="s">
        <v>42</v>
      </c>
      <c r="F43" s="1" t="s">
        <v>18</v>
      </c>
      <c r="G43" s="1">
        <v>5.0</v>
      </c>
      <c r="H43" s="1">
        <v>99536.0</v>
      </c>
      <c r="I43" s="1" t="s">
        <v>43</v>
      </c>
      <c r="J43" s="1" t="s">
        <v>20</v>
      </c>
      <c r="K43" s="1" t="s">
        <v>21</v>
      </c>
      <c r="L43" s="1">
        <v>4.0</v>
      </c>
      <c r="M43" s="3">
        <v>44264.0</v>
      </c>
      <c r="N43" s="4">
        <f t="shared" si="1"/>
        <v>3</v>
      </c>
      <c r="O43" s="4">
        <f t="shared" si="2"/>
        <v>2021</v>
      </c>
    </row>
    <row r="44">
      <c r="A44" s="1">
        <v>43.0</v>
      </c>
      <c r="B44" s="1" t="s">
        <v>73</v>
      </c>
      <c r="C44" s="1">
        <v>28.0</v>
      </c>
      <c r="D44" s="1" t="s">
        <v>16</v>
      </c>
      <c r="E44" s="1" t="s">
        <v>36</v>
      </c>
      <c r="F44" s="1" t="s">
        <v>24</v>
      </c>
      <c r="G44" s="1">
        <v>4.0</v>
      </c>
      <c r="H44" s="1">
        <v>68698.0</v>
      </c>
      <c r="I44" s="1" t="s">
        <v>51</v>
      </c>
      <c r="J44" s="1" t="s">
        <v>29</v>
      </c>
      <c r="K44" s="1" t="s">
        <v>26</v>
      </c>
      <c r="L44" s="1">
        <v>1.0</v>
      </c>
      <c r="M44" s="3">
        <v>44707.0</v>
      </c>
      <c r="N44" s="4">
        <f t="shared" si="1"/>
        <v>5</v>
      </c>
      <c r="O44" s="4">
        <f t="shared" si="2"/>
        <v>2022</v>
      </c>
    </row>
    <row r="45">
      <c r="A45" s="1">
        <v>44.0</v>
      </c>
      <c r="B45" s="1" t="s">
        <v>74</v>
      </c>
      <c r="C45" s="1">
        <v>48.0</v>
      </c>
      <c r="D45" s="1" t="s">
        <v>16</v>
      </c>
      <c r="E45" s="1" t="s">
        <v>31</v>
      </c>
      <c r="F45" s="1" t="s">
        <v>18</v>
      </c>
      <c r="G45" s="1">
        <v>6.0</v>
      </c>
      <c r="H45" s="1">
        <v>105950.0</v>
      </c>
      <c r="I45" s="1" t="s">
        <v>25</v>
      </c>
      <c r="J45" s="1" t="s">
        <v>34</v>
      </c>
      <c r="K45" s="1" t="s">
        <v>21</v>
      </c>
      <c r="L45" s="1">
        <v>3.0</v>
      </c>
      <c r="M45" s="3">
        <v>44006.0</v>
      </c>
      <c r="N45" s="4">
        <f t="shared" si="1"/>
        <v>6</v>
      </c>
      <c r="O45" s="4">
        <f t="shared" si="2"/>
        <v>2020</v>
      </c>
    </row>
    <row r="46">
      <c r="A46" s="1">
        <v>45.0</v>
      </c>
      <c r="B46" s="1" t="s">
        <v>75</v>
      </c>
      <c r="C46" s="1">
        <v>23.0</v>
      </c>
      <c r="D46" s="1" t="s">
        <v>23</v>
      </c>
      <c r="E46" s="1" t="s">
        <v>39</v>
      </c>
      <c r="F46" s="1" t="s">
        <v>49</v>
      </c>
      <c r="G46" s="1">
        <v>12.0</v>
      </c>
      <c r="H46" s="1">
        <v>90503.0</v>
      </c>
      <c r="I46" s="1" t="s">
        <v>51</v>
      </c>
      <c r="J46" s="1" t="s">
        <v>34</v>
      </c>
      <c r="K46" s="1" t="s">
        <v>21</v>
      </c>
      <c r="L46" s="1">
        <v>3.0</v>
      </c>
      <c r="M46" s="3">
        <v>41867.0</v>
      </c>
      <c r="N46" s="4">
        <f t="shared" si="1"/>
        <v>8</v>
      </c>
      <c r="O46" s="4">
        <f t="shared" si="2"/>
        <v>2014</v>
      </c>
    </row>
    <row r="47">
      <c r="A47" s="1">
        <v>46.0</v>
      </c>
      <c r="B47" s="1" t="s">
        <v>76</v>
      </c>
      <c r="C47" s="1">
        <v>41.0</v>
      </c>
      <c r="D47" s="1" t="s">
        <v>16</v>
      </c>
      <c r="E47" s="1" t="s">
        <v>42</v>
      </c>
      <c r="F47" s="1" t="s">
        <v>32</v>
      </c>
      <c r="G47" s="1">
        <v>1.0</v>
      </c>
      <c r="H47" s="1">
        <v>56895.0</v>
      </c>
      <c r="I47" s="1" t="s">
        <v>51</v>
      </c>
      <c r="J47" s="1" t="s">
        <v>34</v>
      </c>
      <c r="K47" s="1" t="s">
        <v>26</v>
      </c>
      <c r="L47" s="1">
        <v>4.0</v>
      </c>
      <c r="M47" s="3">
        <v>45761.0</v>
      </c>
      <c r="N47" s="4">
        <f t="shared" si="1"/>
        <v>4</v>
      </c>
      <c r="O47" s="4">
        <f t="shared" si="2"/>
        <v>2025</v>
      </c>
    </row>
    <row r="48">
      <c r="A48" s="1">
        <v>47.0</v>
      </c>
      <c r="B48" s="1" t="s">
        <v>66</v>
      </c>
      <c r="C48" s="1">
        <v>26.0</v>
      </c>
      <c r="D48" s="1" t="s">
        <v>23</v>
      </c>
      <c r="E48" s="1" t="s">
        <v>36</v>
      </c>
      <c r="F48" s="1" t="s">
        <v>32</v>
      </c>
      <c r="G48" s="1">
        <v>1.0</v>
      </c>
      <c r="H48" s="1">
        <v>118464.0</v>
      </c>
      <c r="I48" s="1" t="s">
        <v>51</v>
      </c>
      <c r="J48" s="1" t="s">
        <v>29</v>
      </c>
      <c r="K48" s="1" t="s">
        <v>21</v>
      </c>
      <c r="L48" s="1">
        <v>2.0</v>
      </c>
      <c r="M48" s="3">
        <v>45981.0</v>
      </c>
      <c r="N48" s="4">
        <f t="shared" si="1"/>
        <v>11</v>
      </c>
      <c r="O48" s="4">
        <f t="shared" si="2"/>
        <v>2025</v>
      </c>
    </row>
    <row r="49">
      <c r="A49" s="1">
        <v>48.0</v>
      </c>
      <c r="B49" s="1" t="s">
        <v>77</v>
      </c>
      <c r="C49" s="1">
        <v>28.0</v>
      </c>
      <c r="D49" s="1" t="s">
        <v>16</v>
      </c>
      <c r="E49" s="1" t="s">
        <v>28</v>
      </c>
      <c r="F49" s="1" t="s">
        <v>24</v>
      </c>
      <c r="G49" s="1">
        <v>8.0</v>
      </c>
      <c r="H49" s="1">
        <v>116632.0</v>
      </c>
      <c r="I49" s="1" t="s">
        <v>25</v>
      </c>
      <c r="J49" s="1" t="s">
        <v>34</v>
      </c>
      <c r="K49" s="1" t="s">
        <v>26</v>
      </c>
      <c r="L49" s="1">
        <v>3.0</v>
      </c>
      <c r="M49" s="3">
        <v>43455.0</v>
      </c>
      <c r="N49" s="4">
        <f t="shared" si="1"/>
        <v>12</v>
      </c>
      <c r="O49" s="4">
        <f t="shared" si="2"/>
        <v>2018</v>
      </c>
    </row>
    <row r="50">
      <c r="A50" s="1">
        <v>49.0</v>
      </c>
      <c r="B50" s="1" t="s">
        <v>78</v>
      </c>
      <c r="C50" s="1">
        <v>60.0</v>
      </c>
      <c r="D50" s="1" t="s">
        <v>16</v>
      </c>
      <c r="E50" s="1" t="s">
        <v>28</v>
      </c>
      <c r="F50" s="1" t="s">
        <v>37</v>
      </c>
      <c r="G50" s="1">
        <v>7.0</v>
      </c>
      <c r="H50" s="1">
        <v>22193.0</v>
      </c>
      <c r="I50" s="1" t="s">
        <v>51</v>
      </c>
      <c r="J50" s="1" t="s">
        <v>34</v>
      </c>
      <c r="K50" s="1" t="s">
        <v>26</v>
      </c>
      <c r="L50" s="1">
        <v>5.0</v>
      </c>
      <c r="M50" s="3">
        <v>43778.0</v>
      </c>
      <c r="N50" s="4">
        <f t="shared" si="1"/>
        <v>11</v>
      </c>
      <c r="O50" s="4">
        <f t="shared" si="2"/>
        <v>2019</v>
      </c>
    </row>
    <row r="51">
      <c r="A51" s="1">
        <v>50.0</v>
      </c>
      <c r="B51" s="1" t="s">
        <v>27</v>
      </c>
      <c r="C51" s="1">
        <v>47.0</v>
      </c>
      <c r="D51" s="1" t="s">
        <v>23</v>
      </c>
      <c r="E51" s="1" t="s">
        <v>28</v>
      </c>
      <c r="F51" s="1" t="s">
        <v>37</v>
      </c>
      <c r="G51" s="1">
        <v>15.0</v>
      </c>
      <c r="H51" s="1">
        <v>79671.0</v>
      </c>
      <c r="I51" s="1" t="s">
        <v>33</v>
      </c>
      <c r="J51" s="1" t="s">
        <v>34</v>
      </c>
      <c r="K51" s="1" t="s">
        <v>21</v>
      </c>
      <c r="L51" s="1">
        <v>1.0</v>
      </c>
      <c r="M51" s="3">
        <v>40671.0</v>
      </c>
      <c r="N51" s="4">
        <f t="shared" si="1"/>
        <v>5</v>
      </c>
      <c r="O51" s="4">
        <f t="shared" si="2"/>
        <v>2011</v>
      </c>
    </row>
    <row r="52">
      <c r="A52" s="1">
        <v>51.0</v>
      </c>
      <c r="B52" s="1" t="s">
        <v>55</v>
      </c>
      <c r="C52" s="1">
        <v>44.0</v>
      </c>
      <c r="D52" s="1" t="s">
        <v>23</v>
      </c>
      <c r="E52" s="1" t="s">
        <v>31</v>
      </c>
      <c r="F52" s="1" t="s">
        <v>32</v>
      </c>
      <c r="G52" s="1">
        <v>13.0</v>
      </c>
      <c r="H52" s="1">
        <v>86758.0</v>
      </c>
      <c r="I52" s="1" t="s">
        <v>51</v>
      </c>
      <c r="J52" s="1" t="s">
        <v>20</v>
      </c>
      <c r="K52" s="1" t="s">
        <v>26</v>
      </c>
      <c r="L52" s="1">
        <v>4.0</v>
      </c>
      <c r="M52" s="3">
        <v>41391.0</v>
      </c>
      <c r="N52" s="4">
        <f t="shared" si="1"/>
        <v>4</v>
      </c>
      <c r="O52" s="4">
        <f t="shared" si="2"/>
        <v>2013</v>
      </c>
    </row>
    <row r="53">
      <c r="A53" s="1">
        <v>52.0</v>
      </c>
      <c r="B53" s="1" t="s">
        <v>79</v>
      </c>
      <c r="C53" s="1">
        <v>40.0</v>
      </c>
      <c r="D53" s="1" t="s">
        <v>23</v>
      </c>
      <c r="E53" s="1" t="s">
        <v>42</v>
      </c>
      <c r="F53" s="1" t="s">
        <v>24</v>
      </c>
      <c r="G53" s="1">
        <v>12.0</v>
      </c>
      <c r="H53" s="1">
        <v>42120.0</v>
      </c>
      <c r="I53" s="1" t="s">
        <v>25</v>
      </c>
      <c r="J53" s="1" t="s">
        <v>29</v>
      </c>
      <c r="K53" s="1" t="s">
        <v>21</v>
      </c>
      <c r="L53" s="1">
        <v>5.0</v>
      </c>
      <c r="M53" s="3">
        <v>41810.0</v>
      </c>
      <c r="N53" s="4">
        <f t="shared" si="1"/>
        <v>6</v>
      </c>
      <c r="O53" s="4">
        <f t="shared" si="2"/>
        <v>2014</v>
      </c>
    </row>
    <row r="54">
      <c r="A54" s="1">
        <v>53.0</v>
      </c>
      <c r="B54" s="1" t="s">
        <v>80</v>
      </c>
      <c r="C54" s="1">
        <v>41.0</v>
      </c>
      <c r="D54" s="1" t="s">
        <v>23</v>
      </c>
      <c r="E54" s="1" t="s">
        <v>31</v>
      </c>
      <c r="F54" s="1" t="s">
        <v>18</v>
      </c>
      <c r="G54" s="1">
        <v>2.0</v>
      </c>
      <c r="H54" s="1">
        <v>67434.0</v>
      </c>
      <c r="I54" s="1" t="s">
        <v>33</v>
      </c>
      <c r="J54" s="1" t="s">
        <v>34</v>
      </c>
      <c r="K54" s="1" t="s">
        <v>21</v>
      </c>
      <c r="L54" s="1">
        <v>4.0</v>
      </c>
      <c r="M54" s="3">
        <v>45635.0</v>
      </c>
      <c r="N54" s="4">
        <f t="shared" si="1"/>
        <v>12</v>
      </c>
      <c r="O54" s="4">
        <f t="shared" si="2"/>
        <v>2024</v>
      </c>
    </row>
    <row r="55">
      <c r="A55" s="1">
        <v>54.0</v>
      </c>
      <c r="B55" s="1" t="s">
        <v>15</v>
      </c>
      <c r="C55" s="1">
        <v>27.0</v>
      </c>
      <c r="D55" s="1" t="s">
        <v>23</v>
      </c>
      <c r="E55" s="1" t="s">
        <v>42</v>
      </c>
      <c r="F55" s="1" t="s">
        <v>37</v>
      </c>
      <c r="G55" s="1">
        <v>6.0</v>
      </c>
      <c r="H55" s="1">
        <v>74713.0</v>
      </c>
      <c r="I55" s="1" t="s">
        <v>33</v>
      </c>
      <c r="J55" s="1" t="s">
        <v>20</v>
      </c>
      <c r="K55" s="1" t="s">
        <v>26</v>
      </c>
      <c r="L55" s="1">
        <v>3.0</v>
      </c>
      <c r="M55" s="3">
        <v>43924.0</v>
      </c>
      <c r="N55" s="4">
        <f t="shared" si="1"/>
        <v>4</v>
      </c>
      <c r="O55" s="4">
        <f t="shared" si="2"/>
        <v>2020</v>
      </c>
    </row>
    <row r="56">
      <c r="A56" s="1">
        <v>55.0</v>
      </c>
      <c r="B56" s="1" t="s">
        <v>81</v>
      </c>
      <c r="C56" s="1">
        <v>26.0</v>
      </c>
      <c r="D56" s="1" t="s">
        <v>23</v>
      </c>
      <c r="E56" s="1" t="s">
        <v>17</v>
      </c>
      <c r="F56" s="1" t="s">
        <v>32</v>
      </c>
      <c r="G56" s="1">
        <v>15.0</v>
      </c>
      <c r="H56" s="1">
        <v>78281.0</v>
      </c>
      <c r="I56" s="1" t="s">
        <v>33</v>
      </c>
      <c r="J56" s="1" t="s">
        <v>20</v>
      </c>
      <c r="K56" s="1" t="s">
        <v>26</v>
      </c>
      <c r="L56" s="1">
        <v>1.0</v>
      </c>
      <c r="M56" s="3">
        <v>40797.0</v>
      </c>
      <c r="N56" s="4">
        <f t="shared" si="1"/>
        <v>9</v>
      </c>
      <c r="O56" s="4">
        <f t="shared" si="2"/>
        <v>2011</v>
      </c>
    </row>
    <row r="57">
      <c r="A57" s="1">
        <v>56.0</v>
      </c>
      <c r="B57" s="1" t="s">
        <v>75</v>
      </c>
      <c r="C57" s="1">
        <v>40.0</v>
      </c>
      <c r="D57" s="1" t="s">
        <v>16</v>
      </c>
      <c r="E57" s="1" t="s">
        <v>31</v>
      </c>
      <c r="F57" s="1" t="s">
        <v>32</v>
      </c>
      <c r="G57" s="1">
        <v>10.0</v>
      </c>
      <c r="H57" s="1">
        <v>94760.0</v>
      </c>
      <c r="I57" s="1" t="s">
        <v>38</v>
      </c>
      <c r="J57" s="1" t="s">
        <v>20</v>
      </c>
      <c r="K57" s="1" t="s">
        <v>21</v>
      </c>
      <c r="L57" s="1">
        <v>4.0</v>
      </c>
      <c r="M57" s="3">
        <v>42576.0</v>
      </c>
      <c r="N57" s="4">
        <f t="shared" si="1"/>
        <v>7</v>
      </c>
      <c r="O57" s="4">
        <f t="shared" si="2"/>
        <v>2016</v>
      </c>
    </row>
    <row r="58">
      <c r="A58" s="1">
        <v>57.0</v>
      </c>
      <c r="B58" s="1" t="s">
        <v>82</v>
      </c>
      <c r="C58" s="1">
        <v>36.0</v>
      </c>
      <c r="D58" s="1" t="s">
        <v>23</v>
      </c>
      <c r="E58" s="1" t="s">
        <v>39</v>
      </c>
      <c r="F58" s="1" t="s">
        <v>32</v>
      </c>
      <c r="G58" s="1">
        <v>1.0</v>
      </c>
      <c r="H58" s="1">
        <v>77041.0</v>
      </c>
      <c r="I58" s="1" t="s">
        <v>25</v>
      </c>
      <c r="J58" s="1" t="s">
        <v>29</v>
      </c>
      <c r="K58" s="1" t="s">
        <v>21</v>
      </c>
      <c r="L58" s="1">
        <v>2.0</v>
      </c>
      <c r="M58" s="3">
        <v>45710.0</v>
      </c>
      <c r="N58" s="4">
        <f t="shared" si="1"/>
        <v>2</v>
      </c>
      <c r="O58" s="4">
        <f t="shared" si="2"/>
        <v>2025</v>
      </c>
    </row>
    <row r="59">
      <c r="A59" s="1">
        <v>58.0</v>
      </c>
      <c r="B59" s="1" t="s">
        <v>83</v>
      </c>
      <c r="C59" s="1">
        <v>21.0</v>
      </c>
      <c r="D59" s="1" t="s">
        <v>16</v>
      </c>
      <c r="E59" s="1" t="s">
        <v>39</v>
      </c>
      <c r="F59" s="1" t="s">
        <v>24</v>
      </c>
      <c r="G59" s="1">
        <v>1.0</v>
      </c>
      <c r="H59" s="1">
        <v>62632.0</v>
      </c>
      <c r="I59" s="1" t="s">
        <v>38</v>
      </c>
      <c r="J59" s="1" t="s">
        <v>20</v>
      </c>
      <c r="K59" s="1" t="s">
        <v>26</v>
      </c>
      <c r="L59" s="1">
        <v>3.0</v>
      </c>
      <c r="M59" s="3">
        <v>45992.0</v>
      </c>
      <c r="N59" s="4">
        <f t="shared" si="1"/>
        <v>12</v>
      </c>
      <c r="O59" s="4">
        <f t="shared" si="2"/>
        <v>2025</v>
      </c>
    </row>
    <row r="60">
      <c r="A60" s="1">
        <v>59.0</v>
      </c>
      <c r="B60" s="1" t="s">
        <v>84</v>
      </c>
      <c r="C60" s="1">
        <v>53.0</v>
      </c>
      <c r="D60" s="1" t="s">
        <v>16</v>
      </c>
      <c r="E60" s="1" t="s">
        <v>28</v>
      </c>
      <c r="F60" s="1" t="s">
        <v>24</v>
      </c>
      <c r="G60" s="1">
        <v>14.0</v>
      </c>
      <c r="H60" s="1">
        <v>91153.0</v>
      </c>
      <c r="I60" s="1" t="s">
        <v>19</v>
      </c>
      <c r="J60" s="1" t="s">
        <v>20</v>
      </c>
      <c r="K60" s="1" t="s">
        <v>26</v>
      </c>
      <c r="L60" s="1">
        <v>3.0</v>
      </c>
      <c r="M60" s="3">
        <v>41136.0</v>
      </c>
      <c r="N60" s="4">
        <f t="shared" si="1"/>
        <v>8</v>
      </c>
      <c r="O60" s="4">
        <f t="shared" si="2"/>
        <v>2012</v>
      </c>
    </row>
    <row r="61">
      <c r="A61" s="1">
        <v>60.0</v>
      </c>
      <c r="B61" s="1" t="s">
        <v>41</v>
      </c>
      <c r="C61" s="1">
        <v>43.0</v>
      </c>
      <c r="D61" s="1" t="s">
        <v>16</v>
      </c>
      <c r="E61" s="1" t="s">
        <v>28</v>
      </c>
      <c r="F61" s="1" t="s">
        <v>37</v>
      </c>
      <c r="G61" s="1">
        <v>13.0</v>
      </c>
      <c r="H61" s="1">
        <v>117710.0</v>
      </c>
      <c r="I61" s="1" t="s">
        <v>38</v>
      </c>
      <c r="J61" s="1" t="s">
        <v>34</v>
      </c>
      <c r="K61" s="1" t="s">
        <v>26</v>
      </c>
      <c r="L61" s="1">
        <v>3.0</v>
      </c>
      <c r="M61" s="3">
        <v>41389.0</v>
      </c>
      <c r="N61" s="4">
        <f t="shared" si="1"/>
        <v>4</v>
      </c>
      <c r="O61" s="4">
        <f t="shared" si="2"/>
        <v>2013</v>
      </c>
    </row>
    <row r="62">
      <c r="A62" s="1">
        <v>61.0</v>
      </c>
      <c r="B62" s="1" t="s">
        <v>85</v>
      </c>
      <c r="C62" s="1">
        <v>25.0</v>
      </c>
      <c r="D62" s="1" t="s">
        <v>16</v>
      </c>
      <c r="E62" s="1" t="s">
        <v>31</v>
      </c>
      <c r="F62" s="1" t="s">
        <v>37</v>
      </c>
      <c r="G62" s="1">
        <v>9.0</v>
      </c>
      <c r="H62" s="1">
        <v>85584.0</v>
      </c>
      <c r="I62" s="1" t="s">
        <v>38</v>
      </c>
      <c r="J62" s="1" t="s">
        <v>20</v>
      </c>
      <c r="K62" s="1" t="s">
        <v>21</v>
      </c>
      <c r="L62" s="1">
        <v>2.0</v>
      </c>
      <c r="M62" s="3">
        <v>42864.0</v>
      </c>
      <c r="N62" s="4">
        <f t="shared" si="1"/>
        <v>5</v>
      </c>
      <c r="O62" s="4">
        <f t="shared" si="2"/>
        <v>2017</v>
      </c>
    </row>
    <row r="63">
      <c r="A63" s="1">
        <v>62.0</v>
      </c>
      <c r="B63" s="1" t="s">
        <v>86</v>
      </c>
      <c r="C63" s="1">
        <v>48.0</v>
      </c>
      <c r="D63" s="1" t="s">
        <v>16</v>
      </c>
      <c r="E63" s="1" t="s">
        <v>31</v>
      </c>
      <c r="F63" s="1" t="s">
        <v>24</v>
      </c>
      <c r="G63" s="1">
        <v>8.0</v>
      </c>
      <c r="H63" s="1">
        <v>20474.0</v>
      </c>
      <c r="I63" s="1" t="s">
        <v>51</v>
      </c>
      <c r="J63" s="1" t="s">
        <v>20</v>
      </c>
      <c r="K63" s="1" t="s">
        <v>26</v>
      </c>
      <c r="L63" s="1">
        <v>1.0</v>
      </c>
      <c r="M63" s="3">
        <v>43196.0</v>
      </c>
      <c r="N63" s="4">
        <f t="shared" si="1"/>
        <v>4</v>
      </c>
      <c r="O63" s="4">
        <f t="shared" si="2"/>
        <v>2018</v>
      </c>
    </row>
    <row r="64">
      <c r="A64" s="1">
        <v>63.0</v>
      </c>
      <c r="B64" s="1" t="s">
        <v>59</v>
      </c>
      <c r="C64" s="1">
        <v>54.0</v>
      </c>
      <c r="D64" s="1" t="s">
        <v>23</v>
      </c>
      <c r="E64" s="1" t="s">
        <v>28</v>
      </c>
      <c r="F64" s="1" t="s">
        <v>37</v>
      </c>
      <c r="G64" s="1">
        <v>15.0</v>
      </c>
      <c r="H64" s="1">
        <v>102377.0</v>
      </c>
      <c r="I64" s="1" t="s">
        <v>51</v>
      </c>
      <c r="J64" s="1" t="s">
        <v>34</v>
      </c>
      <c r="K64" s="1" t="s">
        <v>26</v>
      </c>
      <c r="L64" s="1">
        <v>1.0</v>
      </c>
      <c r="M64" s="3">
        <v>40650.0</v>
      </c>
      <c r="N64" s="4">
        <f t="shared" si="1"/>
        <v>4</v>
      </c>
      <c r="O64" s="4">
        <f t="shared" si="2"/>
        <v>2011</v>
      </c>
    </row>
    <row r="65">
      <c r="A65" s="1">
        <v>64.0</v>
      </c>
      <c r="B65" s="1" t="s">
        <v>40</v>
      </c>
      <c r="C65" s="1">
        <v>44.0</v>
      </c>
      <c r="D65" s="1" t="s">
        <v>16</v>
      </c>
      <c r="E65" s="1" t="s">
        <v>31</v>
      </c>
      <c r="F65" s="1" t="s">
        <v>24</v>
      </c>
      <c r="G65" s="1">
        <v>0.0</v>
      </c>
      <c r="H65" s="1">
        <v>86677.0</v>
      </c>
      <c r="I65" s="1" t="s">
        <v>38</v>
      </c>
      <c r="J65" s="1" t="s">
        <v>29</v>
      </c>
      <c r="K65" s="1" t="s">
        <v>21</v>
      </c>
      <c r="L65" s="1">
        <v>3.0</v>
      </c>
      <c r="M65" s="3">
        <v>46087.0</v>
      </c>
      <c r="N65" s="4">
        <f t="shared" si="1"/>
        <v>3</v>
      </c>
      <c r="O65" s="4">
        <f t="shared" si="2"/>
        <v>2026</v>
      </c>
    </row>
    <row r="66">
      <c r="A66" s="1">
        <v>65.0</v>
      </c>
      <c r="B66" s="1" t="s">
        <v>87</v>
      </c>
      <c r="C66" s="1">
        <v>36.0</v>
      </c>
      <c r="D66" s="1" t="s">
        <v>16</v>
      </c>
      <c r="E66" s="1" t="s">
        <v>31</v>
      </c>
      <c r="F66" s="1" t="s">
        <v>24</v>
      </c>
      <c r="G66" s="1">
        <v>0.0</v>
      </c>
      <c r="H66" s="1">
        <v>49861.0</v>
      </c>
      <c r="I66" s="1" t="s">
        <v>33</v>
      </c>
      <c r="J66" s="1" t="s">
        <v>20</v>
      </c>
      <c r="K66" s="1" t="s">
        <v>26</v>
      </c>
      <c r="L66" s="1">
        <v>2.0</v>
      </c>
      <c r="M66" s="3">
        <v>46068.0</v>
      </c>
      <c r="N66" s="4">
        <f t="shared" si="1"/>
        <v>2</v>
      </c>
      <c r="O66" s="4">
        <f t="shared" si="2"/>
        <v>2026</v>
      </c>
    </row>
    <row r="67">
      <c r="A67" s="1">
        <v>66.0</v>
      </c>
      <c r="B67" s="1" t="s">
        <v>80</v>
      </c>
      <c r="C67" s="1">
        <v>43.0</v>
      </c>
      <c r="D67" s="1" t="s">
        <v>16</v>
      </c>
      <c r="E67" s="1" t="s">
        <v>39</v>
      </c>
      <c r="F67" s="1" t="s">
        <v>32</v>
      </c>
      <c r="G67" s="1">
        <v>12.0</v>
      </c>
      <c r="H67" s="1">
        <v>60106.0</v>
      </c>
      <c r="I67" s="1" t="s">
        <v>19</v>
      </c>
      <c r="J67" s="1" t="s">
        <v>20</v>
      </c>
      <c r="K67" s="1" t="s">
        <v>26</v>
      </c>
      <c r="L67" s="1">
        <v>5.0</v>
      </c>
      <c r="M67" s="3">
        <v>41645.0</v>
      </c>
      <c r="N67" s="4">
        <f t="shared" si="1"/>
        <v>1</v>
      </c>
      <c r="O67" s="4">
        <f t="shared" si="2"/>
        <v>2014</v>
      </c>
    </row>
    <row r="68">
      <c r="A68" s="1">
        <v>67.0</v>
      </c>
      <c r="B68" s="1" t="s">
        <v>88</v>
      </c>
      <c r="C68" s="1">
        <v>37.0</v>
      </c>
      <c r="D68" s="1" t="s">
        <v>23</v>
      </c>
      <c r="E68" s="1" t="s">
        <v>39</v>
      </c>
      <c r="F68" s="1" t="s">
        <v>24</v>
      </c>
      <c r="G68" s="1">
        <v>10.0</v>
      </c>
      <c r="H68" s="1">
        <v>78134.0</v>
      </c>
      <c r="I68" s="1" t="s">
        <v>51</v>
      </c>
      <c r="J68" s="1" t="s">
        <v>34</v>
      </c>
      <c r="K68" s="1" t="s">
        <v>21</v>
      </c>
      <c r="L68" s="1">
        <v>2.0</v>
      </c>
      <c r="M68" s="3">
        <v>42596.0</v>
      </c>
      <c r="N68" s="4">
        <f t="shared" si="1"/>
        <v>8</v>
      </c>
      <c r="O68" s="4">
        <f t="shared" si="2"/>
        <v>2016</v>
      </c>
    </row>
    <row r="69">
      <c r="A69" s="1">
        <v>68.0</v>
      </c>
      <c r="B69" s="1" t="s">
        <v>46</v>
      </c>
      <c r="C69" s="1">
        <v>31.0</v>
      </c>
      <c r="D69" s="1" t="s">
        <v>23</v>
      </c>
      <c r="E69" s="1" t="s">
        <v>42</v>
      </c>
      <c r="F69" s="1" t="s">
        <v>18</v>
      </c>
      <c r="G69" s="1">
        <v>9.0</v>
      </c>
      <c r="H69" s="1">
        <v>80904.0</v>
      </c>
      <c r="I69" s="1" t="s">
        <v>38</v>
      </c>
      <c r="J69" s="1" t="s">
        <v>34</v>
      </c>
      <c r="K69" s="1" t="s">
        <v>26</v>
      </c>
      <c r="L69" s="1">
        <v>5.0</v>
      </c>
      <c r="M69" s="3">
        <v>43096.0</v>
      </c>
      <c r="N69" s="4">
        <f t="shared" si="1"/>
        <v>12</v>
      </c>
      <c r="O69" s="4">
        <f t="shared" si="2"/>
        <v>2017</v>
      </c>
    </row>
    <row r="70">
      <c r="A70" s="1">
        <v>69.0</v>
      </c>
      <c r="B70" s="1" t="s">
        <v>89</v>
      </c>
      <c r="C70" s="1">
        <v>37.0</v>
      </c>
      <c r="D70" s="1" t="s">
        <v>16</v>
      </c>
      <c r="E70" s="1" t="s">
        <v>31</v>
      </c>
      <c r="F70" s="1" t="s">
        <v>49</v>
      </c>
      <c r="G70" s="1">
        <v>5.0</v>
      </c>
      <c r="H70" s="1">
        <v>24511.0</v>
      </c>
      <c r="I70" s="1" t="s">
        <v>43</v>
      </c>
      <c r="J70" s="1" t="s">
        <v>34</v>
      </c>
      <c r="K70" s="1" t="s">
        <v>21</v>
      </c>
      <c r="L70" s="1">
        <v>3.0</v>
      </c>
      <c r="M70" s="3">
        <v>44331.0</v>
      </c>
      <c r="N70" s="4">
        <f t="shared" si="1"/>
        <v>5</v>
      </c>
      <c r="O70" s="4">
        <f t="shared" si="2"/>
        <v>2021</v>
      </c>
    </row>
    <row r="71">
      <c r="A71" s="1">
        <v>70.0</v>
      </c>
      <c r="B71" s="1" t="s">
        <v>82</v>
      </c>
      <c r="C71" s="1">
        <v>47.0</v>
      </c>
      <c r="D71" s="1" t="s">
        <v>23</v>
      </c>
      <c r="E71" s="1" t="s">
        <v>31</v>
      </c>
      <c r="F71" s="1" t="s">
        <v>37</v>
      </c>
      <c r="G71" s="1">
        <v>0.0</v>
      </c>
      <c r="H71" s="1">
        <v>102841.0</v>
      </c>
      <c r="I71" s="1" t="s">
        <v>51</v>
      </c>
      <c r="J71" s="1" t="s">
        <v>20</v>
      </c>
      <c r="K71" s="1" t="s">
        <v>26</v>
      </c>
      <c r="L71" s="1">
        <v>3.0</v>
      </c>
      <c r="M71" s="3">
        <v>46182.0</v>
      </c>
      <c r="N71" s="4">
        <f t="shared" si="1"/>
        <v>6</v>
      </c>
      <c r="O71" s="4">
        <f t="shared" si="2"/>
        <v>2026</v>
      </c>
    </row>
    <row r="72">
      <c r="A72" s="1">
        <v>71.0</v>
      </c>
      <c r="B72" s="1" t="s">
        <v>54</v>
      </c>
      <c r="C72" s="1">
        <v>28.0</v>
      </c>
      <c r="D72" s="1" t="s">
        <v>16</v>
      </c>
      <c r="E72" s="1" t="s">
        <v>36</v>
      </c>
      <c r="F72" s="1" t="s">
        <v>37</v>
      </c>
      <c r="G72" s="1">
        <v>9.0</v>
      </c>
      <c r="H72" s="1">
        <v>28317.0</v>
      </c>
      <c r="I72" s="1" t="s">
        <v>43</v>
      </c>
      <c r="J72" s="1" t="s">
        <v>34</v>
      </c>
      <c r="K72" s="1" t="s">
        <v>26</v>
      </c>
      <c r="L72" s="1">
        <v>1.0</v>
      </c>
      <c r="M72" s="3">
        <v>42861.0</v>
      </c>
      <c r="N72" s="4">
        <f t="shared" si="1"/>
        <v>5</v>
      </c>
      <c r="O72" s="4">
        <f t="shared" si="2"/>
        <v>2017</v>
      </c>
    </row>
    <row r="73">
      <c r="A73" s="1">
        <v>72.0</v>
      </c>
      <c r="B73" s="1" t="s">
        <v>90</v>
      </c>
      <c r="C73" s="1">
        <v>41.0</v>
      </c>
      <c r="D73" s="1" t="s">
        <v>23</v>
      </c>
      <c r="E73" s="1" t="s">
        <v>28</v>
      </c>
      <c r="F73" s="1" t="s">
        <v>24</v>
      </c>
      <c r="G73" s="1">
        <v>1.0</v>
      </c>
      <c r="H73" s="1">
        <v>45890.0</v>
      </c>
      <c r="I73" s="1" t="s">
        <v>43</v>
      </c>
      <c r="J73" s="1" t="s">
        <v>34</v>
      </c>
      <c r="K73" s="1" t="s">
        <v>26</v>
      </c>
      <c r="L73" s="1">
        <v>5.0</v>
      </c>
      <c r="M73" s="3">
        <v>45684.0</v>
      </c>
      <c r="N73" s="4">
        <f t="shared" si="1"/>
        <v>1</v>
      </c>
      <c r="O73" s="4">
        <f t="shared" si="2"/>
        <v>2025</v>
      </c>
    </row>
    <row r="74">
      <c r="A74" s="1">
        <v>73.0</v>
      </c>
      <c r="B74" s="1" t="s">
        <v>63</v>
      </c>
      <c r="C74" s="1">
        <v>38.0</v>
      </c>
      <c r="D74" s="1" t="s">
        <v>16</v>
      </c>
      <c r="E74" s="1" t="s">
        <v>31</v>
      </c>
      <c r="F74" s="1" t="s">
        <v>32</v>
      </c>
      <c r="G74" s="1">
        <v>15.0</v>
      </c>
      <c r="H74" s="1">
        <v>44314.0</v>
      </c>
      <c r="I74" s="1" t="s">
        <v>19</v>
      </c>
      <c r="J74" s="1" t="s">
        <v>29</v>
      </c>
      <c r="K74" s="1" t="s">
        <v>26</v>
      </c>
      <c r="L74" s="1">
        <v>3.0</v>
      </c>
      <c r="M74" s="3">
        <v>40758.0</v>
      </c>
      <c r="N74" s="4">
        <f t="shared" si="1"/>
        <v>8</v>
      </c>
      <c r="O74" s="4">
        <f t="shared" si="2"/>
        <v>2011</v>
      </c>
    </row>
    <row r="75">
      <c r="A75" s="1">
        <v>74.0</v>
      </c>
      <c r="B75" s="1" t="s">
        <v>66</v>
      </c>
      <c r="C75" s="1">
        <v>25.0</v>
      </c>
      <c r="D75" s="1" t="s">
        <v>16</v>
      </c>
      <c r="E75" s="1" t="s">
        <v>39</v>
      </c>
      <c r="F75" s="1" t="s">
        <v>32</v>
      </c>
      <c r="G75" s="1">
        <v>9.0</v>
      </c>
      <c r="H75" s="1">
        <v>90538.0</v>
      </c>
      <c r="I75" s="1" t="s">
        <v>19</v>
      </c>
      <c r="J75" s="1" t="s">
        <v>34</v>
      </c>
      <c r="K75" s="1" t="s">
        <v>21</v>
      </c>
      <c r="L75" s="1">
        <v>3.0</v>
      </c>
      <c r="M75" s="3">
        <v>42990.0</v>
      </c>
      <c r="N75" s="4">
        <f t="shared" si="1"/>
        <v>9</v>
      </c>
      <c r="O75" s="4">
        <f t="shared" si="2"/>
        <v>2017</v>
      </c>
    </row>
    <row r="76">
      <c r="A76" s="1">
        <v>75.0</v>
      </c>
      <c r="B76" s="1" t="s">
        <v>40</v>
      </c>
      <c r="C76" s="1">
        <v>44.0</v>
      </c>
      <c r="D76" s="1" t="s">
        <v>23</v>
      </c>
      <c r="E76" s="1" t="s">
        <v>17</v>
      </c>
      <c r="F76" s="1" t="s">
        <v>18</v>
      </c>
      <c r="G76" s="1">
        <v>7.0</v>
      </c>
      <c r="H76" s="1">
        <v>114042.0</v>
      </c>
      <c r="I76" s="1" t="s">
        <v>33</v>
      </c>
      <c r="J76" s="1" t="s">
        <v>29</v>
      </c>
      <c r="K76" s="1" t="s">
        <v>21</v>
      </c>
      <c r="L76" s="1">
        <v>4.0</v>
      </c>
      <c r="M76" s="3">
        <v>43581.0</v>
      </c>
      <c r="N76" s="4">
        <f t="shared" si="1"/>
        <v>4</v>
      </c>
      <c r="O76" s="4">
        <f t="shared" si="2"/>
        <v>2019</v>
      </c>
    </row>
    <row r="77">
      <c r="A77" s="1">
        <v>76.0</v>
      </c>
      <c r="B77" s="1" t="s">
        <v>88</v>
      </c>
      <c r="C77" s="1">
        <v>37.0</v>
      </c>
      <c r="D77" s="1" t="s">
        <v>16</v>
      </c>
      <c r="E77" s="1" t="s">
        <v>39</v>
      </c>
      <c r="F77" s="1" t="s">
        <v>37</v>
      </c>
      <c r="G77" s="1">
        <v>4.0</v>
      </c>
      <c r="H77" s="1">
        <v>34260.0</v>
      </c>
      <c r="I77" s="1" t="s">
        <v>25</v>
      </c>
      <c r="J77" s="1" t="s">
        <v>20</v>
      </c>
      <c r="K77" s="1" t="s">
        <v>26</v>
      </c>
      <c r="L77" s="1">
        <v>5.0</v>
      </c>
      <c r="M77" s="3">
        <v>44658.0</v>
      </c>
      <c r="N77" s="4">
        <f t="shared" si="1"/>
        <v>4</v>
      </c>
      <c r="O77" s="4">
        <f t="shared" si="2"/>
        <v>2022</v>
      </c>
    </row>
    <row r="78">
      <c r="A78" s="1">
        <v>77.0</v>
      </c>
      <c r="B78" s="1" t="s">
        <v>91</v>
      </c>
      <c r="C78" s="1">
        <v>56.0</v>
      </c>
      <c r="D78" s="1" t="s">
        <v>23</v>
      </c>
      <c r="E78" s="1" t="s">
        <v>17</v>
      </c>
      <c r="F78" s="1" t="s">
        <v>24</v>
      </c>
      <c r="G78" s="1">
        <v>8.0</v>
      </c>
      <c r="H78" s="1">
        <v>109265.0</v>
      </c>
      <c r="I78" s="1" t="s">
        <v>25</v>
      </c>
      <c r="J78" s="1" t="s">
        <v>20</v>
      </c>
      <c r="K78" s="1" t="s">
        <v>21</v>
      </c>
      <c r="L78" s="1">
        <v>4.0</v>
      </c>
      <c r="M78" s="3">
        <v>43235.0</v>
      </c>
      <c r="N78" s="4">
        <f t="shared" si="1"/>
        <v>5</v>
      </c>
      <c r="O78" s="4">
        <f t="shared" si="2"/>
        <v>2018</v>
      </c>
    </row>
    <row r="79">
      <c r="A79" s="1">
        <v>78.0</v>
      </c>
      <c r="B79" s="1" t="s">
        <v>92</v>
      </c>
      <c r="C79" s="1">
        <v>43.0</v>
      </c>
      <c r="D79" s="1" t="s">
        <v>16</v>
      </c>
      <c r="E79" s="1" t="s">
        <v>17</v>
      </c>
      <c r="F79" s="1" t="s">
        <v>32</v>
      </c>
      <c r="G79" s="1">
        <v>6.0</v>
      </c>
      <c r="H79" s="1">
        <v>52697.0</v>
      </c>
      <c r="I79" s="1" t="s">
        <v>33</v>
      </c>
      <c r="J79" s="1" t="s">
        <v>20</v>
      </c>
      <c r="K79" s="1" t="s">
        <v>21</v>
      </c>
      <c r="L79" s="1">
        <v>1.0</v>
      </c>
      <c r="M79" s="3">
        <v>44180.0</v>
      </c>
      <c r="N79" s="4">
        <f t="shared" si="1"/>
        <v>12</v>
      </c>
      <c r="O79" s="4">
        <f t="shared" si="2"/>
        <v>2020</v>
      </c>
    </row>
    <row r="80">
      <c r="A80" s="1">
        <v>79.0</v>
      </c>
      <c r="B80" s="1" t="s">
        <v>93</v>
      </c>
      <c r="C80" s="1">
        <v>39.0</v>
      </c>
      <c r="D80" s="1" t="s">
        <v>23</v>
      </c>
      <c r="E80" s="1" t="s">
        <v>28</v>
      </c>
      <c r="F80" s="1" t="s">
        <v>49</v>
      </c>
      <c r="G80" s="1">
        <v>9.0</v>
      </c>
      <c r="H80" s="1">
        <v>73419.0</v>
      </c>
      <c r="I80" s="1" t="s">
        <v>19</v>
      </c>
      <c r="J80" s="1" t="s">
        <v>34</v>
      </c>
      <c r="K80" s="1" t="s">
        <v>21</v>
      </c>
      <c r="L80" s="1">
        <v>2.0</v>
      </c>
      <c r="M80" s="3">
        <v>42781.0</v>
      </c>
      <c r="N80" s="4">
        <f t="shared" si="1"/>
        <v>2</v>
      </c>
      <c r="O80" s="4">
        <f t="shared" si="2"/>
        <v>2017</v>
      </c>
    </row>
    <row r="81">
      <c r="A81" s="1">
        <v>80.0</v>
      </c>
      <c r="B81" s="1" t="s">
        <v>94</v>
      </c>
      <c r="C81" s="1">
        <v>40.0</v>
      </c>
      <c r="D81" s="1" t="s">
        <v>23</v>
      </c>
      <c r="E81" s="1" t="s">
        <v>42</v>
      </c>
      <c r="F81" s="1" t="s">
        <v>37</v>
      </c>
      <c r="G81" s="1">
        <v>14.0</v>
      </c>
      <c r="H81" s="1">
        <v>96179.0</v>
      </c>
      <c r="I81" s="1" t="s">
        <v>25</v>
      </c>
      <c r="J81" s="1" t="s">
        <v>34</v>
      </c>
      <c r="K81" s="1" t="s">
        <v>26</v>
      </c>
      <c r="L81" s="1">
        <v>4.0</v>
      </c>
      <c r="M81" s="3">
        <v>41054.0</v>
      </c>
      <c r="N81" s="4">
        <f t="shared" si="1"/>
        <v>5</v>
      </c>
      <c r="O81" s="4">
        <f t="shared" si="2"/>
        <v>2012</v>
      </c>
    </row>
    <row r="82">
      <c r="A82" s="1">
        <v>81.0</v>
      </c>
      <c r="B82" s="1" t="s">
        <v>95</v>
      </c>
      <c r="C82" s="1">
        <v>22.0</v>
      </c>
      <c r="D82" s="1" t="s">
        <v>23</v>
      </c>
      <c r="E82" s="1" t="s">
        <v>28</v>
      </c>
      <c r="F82" s="1" t="s">
        <v>37</v>
      </c>
      <c r="G82" s="1">
        <v>6.0</v>
      </c>
      <c r="H82" s="1">
        <v>27120.0</v>
      </c>
      <c r="I82" s="1" t="s">
        <v>19</v>
      </c>
      <c r="J82" s="1" t="s">
        <v>34</v>
      </c>
      <c r="K82" s="1" t="s">
        <v>21</v>
      </c>
      <c r="L82" s="1">
        <v>4.0</v>
      </c>
      <c r="M82" s="3">
        <v>43952.0</v>
      </c>
      <c r="N82" s="4">
        <f t="shared" si="1"/>
        <v>5</v>
      </c>
      <c r="O82" s="4">
        <f t="shared" si="2"/>
        <v>2020</v>
      </c>
    </row>
    <row r="83">
      <c r="A83" s="1">
        <v>82.0</v>
      </c>
      <c r="B83" s="1" t="s">
        <v>72</v>
      </c>
      <c r="C83" s="1">
        <v>57.0</v>
      </c>
      <c r="D83" s="1" t="s">
        <v>23</v>
      </c>
      <c r="E83" s="1" t="s">
        <v>42</v>
      </c>
      <c r="F83" s="1" t="s">
        <v>37</v>
      </c>
      <c r="G83" s="1">
        <v>14.0</v>
      </c>
      <c r="H83" s="1">
        <v>112924.0</v>
      </c>
      <c r="I83" s="1" t="s">
        <v>43</v>
      </c>
      <c r="J83" s="1" t="s">
        <v>20</v>
      </c>
      <c r="K83" s="1" t="s">
        <v>26</v>
      </c>
      <c r="L83" s="1">
        <v>5.0</v>
      </c>
      <c r="M83" s="3">
        <v>41270.0</v>
      </c>
      <c r="N83" s="4">
        <f t="shared" si="1"/>
        <v>12</v>
      </c>
      <c r="O83" s="4">
        <f t="shared" si="2"/>
        <v>2012</v>
      </c>
    </row>
    <row r="84">
      <c r="A84" s="1">
        <v>83.0</v>
      </c>
      <c r="B84" s="1" t="s">
        <v>68</v>
      </c>
      <c r="C84" s="1">
        <v>33.0</v>
      </c>
      <c r="D84" s="1" t="s">
        <v>23</v>
      </c>
      <c r="E84" s="1" t="s">
        <v>42</v>
      </c>
      <c r="F84" s="1" t="s">
        <v>24</v>
      </c>
      <c r="G84" s="1">
        <v>11.0</v>
      </c>
      <c r="H84" s="1">
        <v>114747.0</v>
      </c>
      <c r="I84" s="1" t="s">
        <v>51</v>
      </c>
      <c r="J84" s="1" t="s">
        <v>34</v>
      </c>
      <c r="K84" s="1" t="s">
        <v>26</v>
      </c>
      <c r="L84" s="1">
        <v>2.0</v>
      </c>
      <c r="M84" s="3">
        <v>42063.0</v>
      </c>
      <c r="N84" s="4">
        <f t="shared" si="1"/>
        <v>2</v>
      </c>
      <c r="O84" s="4">
        <f t="shared" si="2"/>
        <v>2015</v>
      </c>
    </row>
    <row r="85">
      <c r="A85" s="1">
        <v>84.0</v>
      </c>
      <c r="B85" s="1" t="s">
        <v>86</v>
      </c>
      <c r="C85" s="1">
        <v>40.0</v>
      </c>
      <c r="D85" s="1" t="s">
        <v>23</v>
      </c>
      <c r="E85" s="1" t="s">
        <v>36</v>
      </c>
      <c r="F85" s="1" t="s">
        <v>32</v>
      </c>
      <c r="G85" s="1">
        <v>11.0</v>
      </c>
      <c r="H85" s="1">
        <v>26328.0</v>
      </c>
      <c r="I85" s="1" t="s">
        <v>25</v>
      </c>
      <c r="J85" s="1" t="s">
        <v>29</v>
      </c>
      <c r="K85" s="1" t="s">
        <v>21</v>
      </c>
      <c r="L85" s="1">
        <v>3.0</v>
      </c>
      <c r="M85" s="3">
        <v>42125.0</v>
      </c>
      <c r="N85" s="4">
        <f t="shared" si="1"/>
        <v>5</v>
      </c>
      <c r="O85" s="4">
        <f t="shared" si="2"/>
        <v>2015</v>
      </c>
    </row>
    <row r="86">
      <c r="A86" s="1">
        <v>85.0</v>
      </c>
      <c r="B86" s="1" t="s">
        <v>60</v>
      </c>
      <c r="C86" s="1">
        <v>29.0</v>
      </c>
      <c r="D86" s="1" t="s">
        <v>16</v>
      </c>
      <c r="E86" s="1" t="s">
        <v>31</v>
      </c>
      <c r="F86" s="1" t="s">
        <v>37</v>
      </c>
      <c r="G86" s="1">
        <v>6.0</v>
      </c>
      <c r="H86" s="1">
        <v>69820.0</v>
      </c>
      <c r="I86" s="1" t="s">
        <v>51</v>
      </c>
      <c r="J86" s="1" t="s">
        <v>34</v>
      </c>
      <c r="K86" s="1" t="s">
        <v>21</v>
      </c>
      <c r="L86" s="1">
        <v>5.0</v>
      </c>
      <c r="M86" s="3">
        <v>44019.0</v>
      </c>
      <c r="N86" s="4">
        <f t="shared" si="1"/>
        <v>7</v>
      </c>
      <c r="O86" s="4">
        <f t="shared" si="2"/>
        <v>2020</v>
      </c>
    </row>
    <row r="87">
      <c r="A87" s="1">
        <v>86.0</v>
      </c>
      <c r="B87" s="1" t="s">
        <v>41</v>
      </c>
      <c r="C87" s="1">
        <v>24.0</v>
      </c>
      <c r="D87" s="1" t="s">
        <v>16</v>
      </c>
      <c r="E87" s="1" t="s">
        <v>31</v>
      </c>
      <c r="F87" s="1" t="s">
        <v>24</v>
      </c>
      <c r="G87" s="1">
        <v>13.0</v>
      </c>
      <c r="H87" s="1">
        <v>38177.0</v>
      </c>
      <c r="I87" s="1" t="s">
        <v>51</v>
      </c>
      <c r="J87" s="1" t="s">
        <v>34</v>
      </c>
      <c r="K87" s="1" t="s">
        <v>26</v>
      </c>
      <c r="L87" s="1">
        <v>4.0</v>
      </c>
      <c r="M87" s="3">
        <v>41543.0</v>
      </c>
      <c r="N87" s="4">
        <f t="shared" si="1"/>
        <v>9</v>
      </c>
      <c r="O87" s="4">
        <f t="shared" si="2"/>
        <v>2013</v>
      </c>
    </row>
    <row r="88">
      <c r="A88" s="1">
        <v>87.0</v>
      </c>
      <c r="B88" s="1" t="s">
        <v>96</v>
      </c>
      <c r="C88" s="1">
        <v>37.0</v>
      </c>
      <c r="D88" s="1" t="s">
        <v>16</v>
      </c>
      <c r="E88" s="1" t="s">
        <v>28</v>
      </c>
      <c r="F88" s="1" t="s">
        <v>18</v>
      </c>
      <c r="G88" s="1">
        <v>6.0</v>
      </c>
      <c r="H88" s="1">
        <v>84166.0</v>
      </c>
      <c r="I88" s="1" t="s">
        <v>33</v>
      </c>
      <c r="J88" s="1" t="s">
        <v>20</v>
      </c>
      <c r="K88" s="1" t="s">
        <v>26</v>
      </c>
      <c r="L88" s="1">
        <v>2.0</v>
      </c>
      <c r="M88" s="3">
        <v>44182.0</v>
      </c>
      <c r="N88" s="4">
        <f t="shared" si="1"/>
        <v>12</v>
      </c>
      <c r="O88" s="4">
        <f t="shared" si="2"/>
        <v>2020</v>
      </c>
    </row>
    <row r="89">
      <c r="A89" s="1">
        <v>88.0</v>
      </c>
      <c r="B89" s="1" t="s">
        <v>75</v>
      </c>
      <c r="C89" s="1">
        <v>27.0</v>
      </c>
      <c r="D89" s="1" t="s">
        <v>23</v>
      </c>
      <c r="E89" s="1" t="s">
        <v>31</v>
      </c>
      <c r="F89" s="1" t="s">
        <v>37</v>
      </c>
      <c r="G89" s="1">
        <v>2.0</v>
      </c>
      <c r="H89" s="1">
        <v>21683.0</v>
      </c>
      <c r="I89" s="1" t="s">
        <v>33</v>
      </c>
      <c r="J89" s="1" t="s">
        <v>29</v>
      </c>
      <c r="K89" s="1" t="s">
        <v>21</v>
      </c>
      <c r="L89" s="1">
        <v>1.0</v>
      </c>
      <c r="M89" s="3">
        <v>45445.0</v>
      </c>
      <c r="N89" s="4">
        <f t="shared" si="1"/>
        <v>6</v>
      </c>
      <c r="O89" s="4">
        <f t="shared" si="2"/>
        <v>2024</v>
      </c>
    </row>
    <row r="90">
      <c r="A90" s="1">
        <v>89.0</v>
      </c>
      <c r="B90" s="1" t="s">
        <v>97</v>
      </c>
      <c r="C90" s="1">
        <v>45.0</v>
      </c>
      <c r="D90" s="1" t="s">
        <v>16</v>
      </c>
      <c r="E90" s="1" t="s">
        <v>39</v>
      </c>
      <c r="F90" s="1" t="s">
        <v>49</v>
      </c>
      <c r="G90" s="1">
        <v>0.0</v>
      </c>
      <c r="H90" s="1">
        <v>40919.0</v>
      </c>
      <c r="I90" s="1" t="s">
        <v>51</v>
      </c>
      <c r="J90" s="1" t="s">
        <v>20</v>
      </c>
      <c r="K90" s="1" t="s">
        <v>21</v>
      </c>
      <c r="L90" s="1">
        <v>4.0</v>
      </c>
      <c r="M90" s="3">
        <v>46144.0</v>
      </c>
      <c r="N90" s="4">
        <f t="shared" si="1"/>
        <v>5</v>
      </c>
      <c r="O90" s="4">
        <f t="shared" si="2"/>
        <v>2026</v>
      </c>
    </row>
    <row r="91">
      <c r="A91" s="1">
        <v>90.0</v>
      </c>
      <c r="B91" s="1" t="s">
        <v>60</v>
      </c>
      <c r="C91" s="1">
        <v>53.0</v>
      </c>
      <c r="D91" s="1" t="s">
        <v>23</v>
      </c>
      <c r="E91" s="1" t="s">
        <v>17</v>
      </c>
      <c r="F91" s="1" t="s">
        <v>24</v>
      </c>
      <c r="G91" s="1">
        <v>10.0</v>
      </c>
      <c r="H91" s="1">
        <v>34667.0</v>
      </c>
      <c r="I91" s="1" t="s">
        <v>38</v>
      </c>
      <c r="J91" s="1" t="s">
        <v>29</v>
      </c>
      <c r="K91" s="1" t="s">
        <v>21</v>
      </c>
      <c r="L91" s="1">
        <v>3.0</v>
      </c>
      <c r="M91" s="3">
        <v>42716.0</v>
      </c>
      <c r="N91" s="4">
        <f t="shared" si="1"/>
        <v>12</v>
      </c>
      <c r="O91" s="4">
        <f t="shared" si="2"/>
        <v>2016</v>
      </c>
    </row>
    <row r="92">
      <c r="A92" s="1">
        <v>91.0</v>
      </c>
      <c r="B92" s="1" t="s">
        <v>98</v>
      </c>
      <c r="C92" s="1">
        <v>34.0</v>
      </c>
      <c r="D92" s="1" t="s">
        <v>23</v>
      </c>
      <c r="E92" s="1" t="s">
        <v>28</v>
      </c>
      <c r="F92" s="1" t="s">
        <v>32</v>
      </c>
      <c r="G92" s="1">
        <v>8.0</v>
      </c>
      <c r="H92" s="1">
        <v>58156.0</v>
      </c>
      <c r="I92" s="1" t="s">
        <v>43</v>
      </c>
      <c r="J92" s="1" t="s">
        <v>20</v>
      </c>
      <c r="K92" s="1" t="s">
        <v>21</v>
      </c>
      <c r="L92" s="1">
        <v>4.0</v>
      </c>
      <c r="M92" s="3">
        <v>43239.0</v>
      </c>
      <c r="N92" s="4">
        <f t="shared" si="1"/>
        <v>5</v>
      </c>
      <c r="O92" s="4">
        <f t="shared" si="2"/>
        <v>2018</v>
      </c>
    </row>
    <row r="93">
      <c r="A93" s="1">
        <v>92.0</v>
      </c>
      <c r="B93" s="1" t="s">
        <v>94</v>
      </c>
      <c r="C93" s="1">
        <v>38.0</v>
      </c>
      <c r="D93" s="1" t="s">
        <v>16</v>
      </c>
      <c r="E93" s="1" t="s">
        <v>17</v>
      </c>
      <c r="F93" s="1" t="s">
        <v>49</v>
      </c>
      <c r="G93" s="1">
        <v>10.0</v>
      </c>
      <c r="H93" s="1">
        <v>54627.0</v>
      </c>
      <c r="I93" s="1" t="s">
        <v>33</v>
      </c>
      <c r="J93" s="1" t="s">
        <v>29</v>
      </c>
      <c r="K93" s="1" t="s">
        <v>21</v>
      </c>
      <c r="L93" s="1">
        <v>2.0</v>
      </c>
      <c r="M93" s="3">
        <v>42693.0</v>
      </c>
      <c r="N93" s="4">
        <f t="shared" si="1"/>
        <v>11</v>
      </c>
      <c r="O93" s="4">
        <f t="shared" si="2"/>
        <v>2016</v>
      </c>
    </row>
    <row r="94">
      <c r="A94" s="1">
        <v>93.0</v>
      </c>
      <c r="B94" s="1" t="s">
        <v>65</v>
      </c>
      <c r="C94" s="1">
        <v>45.0</v>
      </c>
      <c r="D94" s="1" t="s">
        <v>23</v>
      </c>
      <c r="E94" s="1" t="s">
        <v>28</v>
      </c>
      <c r="F94" s="1" t="s">
        <v>24</v>
      </c>
      <c r="G94" s="1">
        <v>1.0</v>
      </c>
      <c r="H94" s="1">
        <v>103370.0</v>
      </c>
      <c r="I94" s="1" t="s">
        <v>38</v>
      </c>
      <c r="J94" s="1" t="s">
        <v>20</v>
      </c>
      <c r="K94" s="1" t="s">
        <v>26</v>
      </c>
      <c r="L94" s="1">
        <v>2.0</v>
      </c>
      <c r="M94" s="3">
        <v>45914.0</v>
      </c>
      <c r="N94" s="4">
        <f t="shared" si="1"/>
        <v>9</v>
      </c>
      <c r="O94" s="4">
        <f t="shared" si="2"/>
        <v>2025</v>
      </c>
    </row>
    <row r="95">
      <c r="A95" s="1">
        <v>94.0</v>
      </c>
      <c r="B95" s="1" t="s">
        <v>48</v>
      </c>
      <c r="C95" s="1">
        <v>52.0</v>
      </c>
      <c r="D95" s="1" t="s">
        <v>23</v>
      </c>
      <c r="E95" s="1" t="s">
        <v>39</v>
      </c>
      <c r="F95" s="1" t="s">
        <v>32</v>
      </c>
      <c r="G95" s="1">
        <v>3.0</v>
      </c>
      <c r="H95" s="1">
        <v>38571.0</v>
      </c>
      <c r="I95" s="1" t="s">
        <v>38</v>
      </c>
      <c r="J95" s="1" t="s">
        <v>34</v>
      </c>
      <c r="K95" s="1" t="s">
        <v>21</v>
      </c>
      <c r="L95" s="1">
        <v>1.0</v>
      </c>
      <c r="M95" s="3">
        <v>45278.0</v>
      </c>
      <c r="N95" s="4">
        <f t="shared" si="1"/>
        <v>12</v>
      </c>
      <c r="O95" s="4">
        <f t="shared" si="2"/>
        <v>2023</v>
      </c>
    </row>
    <row r="96">
      <c r="A96" s="1">
        <v>95.0</v>
      </c>
      <c r="B96" s="1" t="s">
        <v>99</v>
      </c>
      <c r="C96" s="1">
        <v>23.0</v>
      </c>
      <c r="D96" s="1" t="s">
        <v>16</v>
      </c>
      <c r="E96" s="1" t="s">
        <v>39</v>
      </c>
      <c r="F96" s="1" t="s">
        <v>32</v>
      </c>
      <c r="G96" s="1">
        <v>0.0</v>
      </c>
      <c r="H96" s="1">
        <v>46217.0</v>
      </c>
      <c r="I96" s="1" t="s">
        <v>25</v>
      </c>
      <c r="J96" s="1" t="s">
        <v>34</v>
      </c>
      <c r="K96" s="1" t="s">
        <v>21</v>
      </c>
      <c r="L96" s="1">
        <v>2.0</v>
      </c>
      <c r="M96" s="3">
        <v>46032.0</v>
      </c>
      <c r="N96" s="4">
        <f t="shared" si="1"/>
        <v>1</v>
      </c>
      <c r="O96" s="4">
        <f t="shared" si="2"/>
        <v>2026</v>
      </c>
    </row>
    <row r="97">
      <c r="A97" s="1">
        <v>96.0</v>
      </c>
      <c r="B97" s="1" t="s">
        <v>99</v>
      </c>
      <c r="C97" s="1">
        <v>55.0</v>
      </c>
      <c r="D97" s="1" t="s">
        <v>16</v>
      </c>
      <c r="E97" s="1" t="s">
        <v>36</v>
      </c>
      <c r="F97" s="1" t="s">
        <v>24</v>
      </c>
      <c r="G97" s="1">
        <v>9.0</v>
      </c>
      <c r="H97" s="1">
        <v>38017.0</v>
      </c>
      <c r="I97" s="1" t="s">
        <v>38</v>
      </c>
      <c r="J97" s="1" t="s">
        <v>34</v>
      </c>
      <c r="K97" s="1" t="s">
        <v>26</v>
      </c>
      <c r="L97" s="1">
        <v>1.0</v>
      </c>
      <c r="M97" s="3">
        <v>42862.0</v>
      </c>
      <c r="N97" s="4">
        <f t="shared" si="1"/>
        <v>5</v>
      </c>
      <c r="O97" s="4">
        <f t="shared" si="2"/>
        <v>2017</v>
      </c>
    </row>
    <row r="98">
      <c r="A98" s="1">
        <v>97.0</v>
      </c>
      <c r="B98" s="1" t="s">
        <v>78</v>
      </c>
      <c r="C98" s="1">
        <v>24.0</v>
      </c>
      <c r="D98" s="1" t="s">
        <v>16</v>
      </c>
      <c r="E98" s="1" t="s">
        <v>17</v>
      </c>
      <c r="F98" s="1" t="s">
        <v>18</v>
      </c>
      <c r="G98" s="1">
        <v>6.0</v>
      </c>
      <c r="H98" s="1">
        <v>99161.0</v>
      </c>
      <c r="I98" s="1" t="s">
        <v>38</v>
      </c>
      <c r="J98" s="1" t="s">
        <v>29</v>
      </c>
      <c r="K98" s="1" t="s">
        <v>21</v>
      </c>
      <c r="L98" s="1">
        <v>1.0</v>
      </c>
      <c r="M98" s="3">
        <v>44045.0</v>
      </c>
      <c r="N98" s="4">
        <f t="shared" si="1"/>
        <v>8</v>
      </c>
      <c r="O98" s="4">
        <f t="shared" si="2"/>
        <v>2020</v>
      </c>
    </row>
    <row r="99">
      <c r="A99" s="1">
        <v>98.0</v>
      </c>
      <c r="B99" s="1" t="s">
        <v>22</v>
      </c>
      <c r="C99" s="1">
        <v>43.0</v>
      </c>
      <c r="D99" s="1" t="s">
        <v>23</v>
      </c>
      <c r="E99" s="1" t="s">
        <v>17</v>
      </c>
      <c r="F99" s="1" t="s">
        <v>49</v>
      </c>
      <c r="G99" s="1">
        <v>14.0</v>
      </c>
      <c r="H99" s="1">
        <v>105902.0</v>
      </c>
      <c r="I99" s="1" t="s">
        <v>51</v>
      </c>
      <c r="J99" s="1" t="s">
        <v>34</v>
      </c>
      <c r="K99" s="1" t="s">
        <v>26</v>
      </c>
      <c r="L99" s="1">
        <v>5.0</v>
      </c>
      <c r="M99" s="3">
        <v>40909.0</v>
      </c>
      <c r="N99" s="4">
        <f t="shared" si="1"/>
        <v>1</v>
      </c>
      <c r="O99" s="4">
        <f t="shared" si="2"/>
        <v>2012</v>
      </c>
    </row>
    <row r="100">
      <c r="A100" s="1">
        <v>99.0</v>
      </c>
      <c r="B100" s="1" t="s">
        <v>100</v>
      </c>
      <c r="C100" s="1">
        <v>60.0</v>
      </c>
      <c r="D100" s="1" t="s">
        <v>16</v>
      </c>
      <c r="E100" s="1" t="s">
        <v>17</v>
      </c>
      <c r="F100" s="1" t="s">
        <v>18</v>
      </c>
      <c r="G100" s="1">
        <v>13.0</v>
      </c>
      <c r="H100" s="1">
        <v>64348.0</v>
      </c>
      <c r="I100" s="1" t="s">
        <v>51</v>
      </c>
      <c r="J100" s="1" t="s">
        <v>34</v>
      </c>
      <c r="K100" s="1" t="s">
        <v>21</v>
      </c>
      <c r="L100" s="1">
        <v>2.0</v>
      </c>
      <c r="M100" s="3">
        <v>41387.0</v>
      </c>
      <c r="N100" s="4">
        <f t="shared" si="1"/>
        <v>4</v>
      </c>
      <c r="O100" s="4">
        <f t="shared" si="2"/>
        <v>2013</v>
      </c>
    </row>
    <row r="101">
      <c r="A101" s="1">
        <v>100.0</v>
      </c>
      <c r="B101" s="1" t="s">
        <v>45</v>
      </c>
      <c r="C101" s="1">
        <v>52.0</v>
      </c>
      <c r="D101" s="1" t="s">
        <v>16</v>
      </c>
      <c r="E101" s="1" t="s">
        <v>31</v>
      </c>
      <c r="F101" s="1" t="s">
        <v>49</v>
      </c>
      <c r="G101" s="1">
        <v>1.0</v>
      </c>
      <c r="H101" s="1">
        <v>90650.0</v>
      </c>
      <c r="I101" s="1" t="s">
        <v>43</v>
      </c>
      <c r="J101" s="1" t="s">
        <v>29</v>
      </c>
      <c r="K101" s="1" t="s">
        <v>26</v>
      </c>
      <c r="L101" s="1">
        <v>2.0</v>
      </c>
      <c r="M101" s="3">
        <v>45842.0</v>
      </c>
      <c r="N101" s="4">
        <f t="shared" si="1"/>
        <v>7</v>
      </c>
      <c r="O101" s="4">
        <f t="shared" si="2"/>
        <v>2025</v>
      </c>
    </row>
    <row r="102">
      <c r="A102" s="1">
        <v>101.0</v>
      </c>
      <c r="B102" s="1" t="s">
        <v>41</v>
      </c>
      <c r="C102" s="1">
        <v>21.0</v>
      </c>
      <c r="D102" s="1" t="s">
        <v>23</v>
      </c>
      <c r="E102" s="1" t="s">
        <v>28</v>
      </c>
      <c r="F102" s="1" t="s">
        <v>24</v>
      </c>
      <c r="G102" s="1">
        <v>9.0</v>
      </c>
      <c r="H102" s="1">
        <v>32455.0</v>
      </c>
      <c r="I102" s="1" t="s">
        <v>19</v>
      </c>
      <c r="J102" s="1" t="s">
        <v>34</v>
      </c>
      <c r="K102" s="1" t="s">
        <v>26</v>
      </c>
      <c r="L102" s="1">
        <v>3.0</v>
      </c>
      <c r="M102" s="3">
        <v>42780.0</v>
      </c>
      <c r="N102" s="4">
        <f t="shared" si="1"/>
        <v>2</v>
      </c>
      <c r="O102" s="4">
        <f t="shared" si="2"/>
        <v>2017</v>
      </c>
    </row>
    <row r="103">
      <c r="A103" s="1">
        <v>102.0</v>
      </c>
      <c r="B103" s="1" t="s">
        <v>101</v>
      </c>
      <c r="C103" s="1">
        <v>23.0</v>
      </c>
      <c r="D103" s="1" t="s">
        <v>23</v>
      </c>
      <c r="E103" s="1" t="s">
        <v>17</v>
      </c>
      <c r="F103" s="1" t="s">
        <v>18</v>
      </c>
      <c r="G103" s="1">
        <v>11.0</v>
      </c>
      <c r="H103" s="1">
        <v>57369.0</v>
      </c>
      <c r="I103" s="1" t="s">
        <v>33</v>
      </c>
      <c r="J103" s="1" t="s">
        <v>34</v>
      </c>
      <c r="K103" s="1" t="s">
        <v>21</v>
      </c>
      <c r="L103" s="1">
        <v>3.0</v>
      </c>
      <c r="M103" s="3">
        <v>42104.0</v>
      </c>
      <c r="N103" s="4">
        <f t="shared" si="1"/>
        <v>4</v>
      </c>
      <c r="O103" s="4">
        <f t="shared" si="2"/>
        <v>2015</v>
      </c>
    </row>
    <row r="104">
      <c r="A104" s="1">
        <v>103.0</v>
      </c>
      <c r="B104" s="1" t="s">
        <v>102</v>
      </c>
      <c r="C104" s="1">
        <v>27.0</v>
      </c>
      <c r="D104" s="1" t="s">
        <v>23</v>
      </c>
      <c r="E104" s="1" t="s">
        <v>42</v>
      </c>
      <c r="F104" s="1" t="s">
        <v>49</v>
      </c>
      <c r="G104" s="1">
        <v>11.0</v>
      </c>
      <c r="H104" s="1">
        <v>34384.0</v>
      </c>
      <c r="I104" s="1" t="s">
        <v>43</v>
      </c>
      <c r="J104" s="1" t="s">
        <v>34</v>
      </c>
      <c r="K104" s="1" t="s">
        <v>21</v>
      </c>
      <c r="L104" s="1">
        <v>4.0</v>
      </c>
      <c r="M104" s="3">
        <v>42321.0</v>
      </c>
      <c r="N104" s="4">
        <f t="shared" si="1"/>
        <v>11</v>
      </c>
      <c r="O104" s="4">
        <f t="shared" si="2"/>
        <v>2015</v>
      </c>
    </row>
    <row r="105">
      <c r="A105" s="1">
        <v>104.0</v>
      </c>
      <c r="B105" s="1" t="s">
        <v>64</v>
      </c>
      <c r="C105" s="1">
        <v>29.0</v>
      </c>
      <c r="D105" s="1" t="s">
        <v>23</v>
      </c>
      <c r="E105" s="1" t="s">
        <v>36</v>
      </c>
      <c r="F105" s="1" t="s">
        <v>37</v>
      </c>
      <c r="G105" s="1">
        <v>1.0</v>
      </c>
      <c r="H105" s="1">
        <v>114863.0</v>
      </c>
      <c r="I105" s="1" t="s">
        <v>38</v>
      </c>
      <c r="J105" s="1" t="s">
        <v>34</v>
      </c>
      <c r="K105" s="1" t="s">
        <v>26</v>
      </c>
      <c r="L105" s="1">
        <v>3.0</v>
      </c>
      <c r="M105" s="3">
        <v>45844.0</v>
      </c>
      <c r="N105" s="4">
        <f t="shared" si="1"/>
        <v>7</v>
      </c>
      <c r="O105" s="4">
        <f t="shared" si="2"/>
        <v>2025</v>
      </c>
    </row>
    <row r="106">
      <c r="A106" s="1">
        <v>105.0</v>
      </c>
      <c r="B106" s="1" t="s">
        <v>103</v>
      </c>
      <c r="C106" s="1">
        <v>48.0</v>
      </c>
      <c r="D106" s="1" t="s">
        <v>16</v>
      </c>
      <c r="E106" s="1" t="s">
        <v>42</v>
      </c>
      <c r="F106" s="1" t="s">
        <v>49</v>
      </c>
      <c r="G106" s="1">
        <v>8.0</v>
      </c>
      <c r="H106" s="1">
        <v>117659.0</v>
      </c>
      <c r="I106" s="1" t="s">
        <v>51</v>
      </c>
      <c r="J106" s="1" t="s">
        <v>34</v>
      </c>
      <c r="K106" s="1" t="s">
        <v>21</v>
      </c>
      <c r="L106" s="1">
        <v>2.0</v>
      </c>
      <c r="M106" s="3">
        <v>43102.0</v>
      </c>
      <c r="N106" s="4">
        <f t="shared" si="1"/>
        <v>1</v>
      </c>
      <c r="O106" s="4">
        <f t="shared" si="2"/>
        <v>2018</v>
      </c>
    </row>
    <row r="107">
      <c r="A107" s="1">
        <v>106.0</v>
      </c>
      <c r="B107" s="1" t="s">
        <v>63</v>
      </c>
      <c r="C107" s="1">
        <v>54.0</v>
      </c>
      <c r="D107" s="1" t="s">
        <v>16</v>
      </c>
      <c r="E107" s="1" t="s">
        <v>28</v>
      </c>
      <c r="F107" s="1" t="s">
        <v>37</v>
      </c>
      <c r="G107" s="1">
        <v>2.0</v>
      </c>
      <c r="H107" s="1">
        <v>21162.0</v>
      </c>
      <c r="I107" s="1" t="s">
        <v>38</v>
      </c>
      <c r="J107" s="1" t="s">
        <v>20</v>
      </c>
      <c r="K107" s="1" t="s">
        <v>26</v>
      </c>
      <c r="L107" s="1">
        <v>5.0</v>
      </c>
      <c r="M107" s="3">
        <v>45337.0</v>
      </c>
      <c r="N107" s="4">
        <f t="shared" si="1"/>
        <v>2</v>
      </c>
      <c r="O107" s="4">
        <f t="shared" si="2"/>
        <v>2024</v>
      </c>
    </row>
    <row r="108">
      <c r="A108" s="1">
        <v>107.0</v>
      </c>
      <c r="B108" s="1" t="s">
        <v>69</v>
      </c>
      <c r="C108" s="1">
        <v>38.0</v>
      </c>
      <c r="D108" s="1" t="s">
        <v>16</v>
      </c>
      <c r="E108" s="1" t="s">
        <v>31</v>
      </c>
      <c r="F108" s="1" t="s">
        <v>49</v>
      </c>
      <c r="G108" s="1">
        <v>15.0</v>
      </c>
      <c r="H108" s="1">
        <v>43556.0</v>
      </c>
      <c r="I108" s="1" t="s">
        <v>33</v>
      </c>
      <c r="J108" s="1" t="s">
        <v>29</v>
      </c>
      <c r="K108" s="1" t="s">
        <v>26</v>
      </c>
      <c r="L108" s="1">
        <v>4.0</v>
      </c>
      <c r="M108" s="3">
        <v>40742.0</v>
      </c>
      <c r="N108" s="4">
        <f t="shared" si="1"/>
        <v>7</v>
      </c>
      <c r="O108" s="4">
        <f t="shared" si="2"/>
        <v>2011</v>
      </c>
    </row>
    <row r="109">
      <c r="A109" s="1">
        <v>108.0</v>
      </c>
      <c r="B109" s="1" t="s">
        <v>104</v>
      </c>
      <c r="C109" s="1">
        <v>42.0</v>
      </c>
      <c r="D109" s="1" t="s">
        <v>16</v>
      </c>
      <c r="E109" s="1" t="s">
        <v>17</v>
      </c>
      <c r="F109" s="1" t="s">
        <v>49</v>
      </c>
      <c r="G109" s="1">
        <v>15.0</v>
      </c>
      <c r="H109" s="1">
        <v>115031.0</v>
      </c>
      <c r="I109" s="1" t="s">
        <v>25</v>
      </c>
      <c r="J109" s="1" t="s">
        <v>34</v>
      </c>
      <c r="K109" s="1" t="s">
        <v>21</v>
      </c>
      <c r="L109" s="1">
        <v>1.0</v>
      </c>
      <c r="M109" s="3">
        <v>40577.0</v>
      </c>
      <c r="N109" s="4">
        <f t="shared" si="1"/>
        <v>2</v>
      </c>
      <c r="O109" s="4">
        <f t="shared" si="2"/>
        <v>2011</v>
      </c>
    </row>
    <row r="110">
      <c r="A110" s="1">
        <v>109.0</v>
      </c>
      <c r="B110" s="1" t="s">
        <v>77</v>
      </c>
      <c r="C110" s="1">
        <v>41.0</v>
      </c>
      <c r="D110" s="1" t="s">
        <v>23</v>
      </c>
      <c r="E110" s="1" t="s">
        <v>17</v>
      </c>
      <c r="F110" s="1" t="s">
        <v>24</v>
      </c>
      <c r="G110" s="1">
        <v>11.0</v>
      </c>
      <c r="H110" s="1">
        <v>39509.0</v>
      </c>
      <c r="I110" s="1" t="s">
        <v>33</v>
      </c>
      <c r="J110" s="1" t="s">
        <v>29</v>
      </c>
      <c r="K110" s="1" t="s">
        <v>21</v>
      </c>
      <c r="L110" s="1">
        <v>4.0</v>
      </c>
      <c r="M110" s="3">
        <v>42348.0</v>
      </c>
      <c r="N110" s="4">
        <f t="shared" si="1"/>
        <v>12</v>
      </c>
      <c r="O110" s="4">
        <f t="shared" si="2"/>
        <v>2015</v>
      </c>
    </row>
    <row r="111">
      <c r="A111" s="1">
        <v>110.0</v>
      </c>
      <c r="B111" s="1" t="s">
        <v>69</v>
      </c>
      <c r="C111" s="1">
        <v>52.0</v>
      </c>
      <c r="D111" s="1" t="s">
        <v>23</v>
      </c>
      <c r="E111" s="1" t="s">
        <v>36</v>
      </c>
      <c r="F111" s="1" t="s">
        <v>49</v>
      </c>
      <c r="G111" s="1">
        <v>13.0</v>
      </c>
      <c r="H111" s="1">
        <v>23422.0</v>
      </c>
      <c r="I111" s="1" t="s">
        <v>33</v>
      </c>
      <c r="J111" s="1" t="s">
        <v>20</v>
      </c>
      <c r="K111" s="1" t="s">
        <v>26</v>
      </c>
      <c r="L111" s="1">
        <v>2.0</v>
      </c>
      <c r="M111" s="3">
        <v>41602.0</v>
      </c>
      <c r="N111" s="4">
        <f t="shared" si="1"/>
        <v>11</v>
      </c>
      <c r="O111" s="4">
        <f t="shared" si="2"/>
        <v>2013</v>
      </c>
    </row>
    <row r="112">
      <c r="A112" s="1">
        <v>111.0</v>
      </c>
      <c r="B112" s="1" t="s">
        <v>98</v>
      </c>
      <c r="C112" s="1">
        <v>43.0</v>
      </c>
      <c r="D112" s="1" t="s">
        <v>16</v>
      </c>
      <c r="E112" s="1" t="s">
        <v>31</v>
      </c>
      <c r="F112" s="1" t="s">
        <v>32</v>
      </c>
      <c r="G112" s="1">
        <v>0.0</v>
      </c>
      <c r="H112" s="1">
        <v>48853.0</v>
      </c>
      <c r="I112" s="1" t="s">
        <v>19</v>
      </c>
      <c r="J112" s="1" t="s">
        <v>29</v>
      </c>
      <c r="K112" s="1" t="s">
        <v>21</v>
      </c>
      <c r="L112" s="1">
        <v>3.0</v>
      </c>
      <c r="M112" s="3">
        <v>46162.0</v>
      </c>
      <c r="N112" s="4">
        <f t="shared" si="1"/>
        <v>5</v>
      </c>
      <c r="O112" s="4">
        <f t="shared" si="2"/>
        <v>2026</v>
      </c>
    </row>
    <row r="113">
      <c r="A113" s="1">
        <v>112.0</v>
      </c>
      <c r="B113" s="1" t="s">
        <v>105</v>
      </c>
      <c r="C113" s="1">
        <v>56.0</v>
      </c>
      <c r="D113" s="1" t="s">
        <v>23</v>
      </c>
      <c r="E113" s="1" t="s">
        <v>31</v>
      </c>
      <c r="F113" s="1" t="s">
        <v>37</v>
      </c>
      <c r="G113" s="1">
        <v>7.0</v>
      </c>
      <c r="H113" s="1">
        <v>76111.0</v>
      </c>
      <c r="I113" s="1" t="s">
        <v>43</v>
      </c>
      <c r="J113" s="1" t="s">
        <v>29</v>
      </c>
      <c r="K113" s="1" t="s">
        <v>21</v>
      </c>
      <c r="L113" s="1">
        <v>4.0</v>
      </c>
      <c r="M113" s="3">
        <v>43622.0</v>
      </c>
      <c r="N113" s="4">
        <f t="shared" si="1"/>
        <v>6</v>
      </c>
      <c r="O113" s="4">
        <f t="shared" si="2"/>
        <v>2019</v>
      </c>
    </row>
    <row r="114">
      <c r="A114" s="1">
        <v>113.0</v>
      </c>
      <c r="B114" s="1" t="s">
        <v>106</v>
      </c>
      <c r="C114" s="1">
        <v>53.0</v>
      </c>
      <c r="D114" s="1" t="s">
        <v>23</v>
      </c>
      <c r="E114" s="1" t="s">
        <v>39</v>
      </c>
      <c r="F114" s="1" t="s">
        <v>49</v>
      </c>
      <c r="G114" s="1">
        <v>13.0</v>
      </c>
      <c r="H114" s="1">
        <v>79482.0</v>
      </c>
      <c r="I114" s="1" t="s">
        <v>19</v>
      </c>
      <c r="J114" s="1" t="s">
        <v>34</v>
      </c>
      <c r="K114" s="1" t="s">
        <v>21</v>
      </c>
      <c r="L114" s="1">
        <v>3.0</v>
      </c>
      <c r="M114" s="3">
        <v>41450.0</v>
      </c>
      <c r="N114" s="4">
        <f t="shared" si="1"/>
        <v>6</v>
      </c>
      <c r="O114" s="4">
        <f t="shared" si="2"/>
        <v>2013</v>
      </c>
    </row>
    <row r="115">
      <c r="A115" s="1">
        <v>114.0</v>
      </c>
      <c r="B115" s="1" t="s">
        <v>47</v>
      </c>
      <c r="C115" s="1">
        <v>23.0</v>
      </c>
      <c r="D115" s="1" t="s">
        <v>16</v>
      </c>
      <c r="E115" s="1" t="s">
        <v>42</v>
      </c>
      <c r="F115" s="1" t="s">
        <v>32</v>
      </c>
      <c r="G115" s="1">
        <v>10.0</v>
      </c>
      <c r="H115" s="1">
        <v>47737.0</v>
      </c>
      <c r="I115" s="1" t="s">
        <v>25</v>
      </c>
      <c r="J115" s="1" t="s">
        <v>20</v>
      </c>
      <c r="K115" s="1" t="s">
        <v>26</v>
      </c>
      <c r="L115" s="1">
        <v>1.0</v>
      </c>
      <c r="M115" s="3">
        <v>42660.0</v>
      </c>
      <c r="N115" s="4">
        <f t="shared" si="1"/>
        <v>10</v>
      </c>
      <c r="O115" s="4">
        <f t="shared" si="2"/>
        <v>2016</v>
      </c>
    </row>
    <row r="116">
      <c r="A116" s="1">
        <v>115.0</v>
      </c>
      <c r="B116" s="1" t="s">
        <v>103</v>
      </c>
      <c r="C116" s="1">
        <v>30.0</v>
      </c>
      <c r="D116" s="1" t="s">
        <v>23</v>
      </c>
      <c r="E116" s="1" t="s">
        <v>31</v>
      </c>
      <c r="F116" s="1" t="s">
        <v>37</v>
      </c>
      <c r="G116" s="1">
        <v>8.0</v>
      </c>
      <c r="H116" s="1">
        <v>63010.0</v>
      </c>
      <c r="I116" s="1" t="s">
        <v>33</v>
      </c>
      <c r="J116" s="1" t="s">
        <v>34</v>
      </c>
      <c r="K116" s="1" t="s">
        <v>26</v>
      </c>
      <c r="L116" s="1">
        <v>5.0</v>
      </c>
      <c r="M116" s="3">
        <v>43428.0</v>
      </c>
      <c r="N116" s="4">
        <f t="shared" si="1"/>
        <v>11</v>
      </c>
      <c r="O116" s="4">
        <f t="shared" si="2"/>
        <v>2018</v>
      </c>
    </row>
    <row r="117">
      <c r="A117" s="1">
        <v>116.0</v>
      </c>
      <c r="B117" s="1" t="s">
        <v>106</v>
      </c>
      <c r="C117" s="1">
        <v>49.0</v>
      </c>
      <c r="D117" s="1" t="s">
        <v>23</v>
      </c>
      <c r="E117" s="1" t="s">
        <v>42</v>
      </c>
      <c r="F117" s="1" t="s">
        <v>49</v>
      </c>
      <c r="G117" s="1">
        <v>13.0</v>
      </c>
      <c r="H117" s="1">
        <v>40072.0</v>
      </c>
      <c r="I117" s="1" t="s">
        <v>19</v>
      </c>
      <c r="J117" s="1" t="s">
        <v>34</v>
      </c>
      <c r="K117" s="1" t="s">
        <v>26</v>
      </c>
      <c r="L117" s="1">
        <v>3.0</v>
      </c>
      <c r="M117" s="3">
        <v>41589.0</v>
      </c>
      <c r="N117" s="4">
        <f t="shared" si="1"/>
        <v>11</v>
      </c>
      <c r="O117" s="4">
        <f t="shared" si="2"/>
        <v>2013</v>
      </c>
    </row>
    <row r="118">
      <c r="A118" s="1">
        <v>117.0</v>
      </c>
      <c r="B118" s="1" t="s">
        <v>94</v>
      </c>
      <c r="C118" s="1">
        <v>47.0</v>
      </c>
      <c r="D118" s="1" t="s">
        <v>23</v>
      </c>
      <c r="E118" s="1" t="s">
        <v>17</v>
      </c>
      <c r="F118" s="1" t="s">
        <v>49</v>
      </c>
      <c r="G118" s="1">
        <v>9.0</v>
      </c>
      <c r="H118" s="1">
        <v>97227.0</v>
      </c>
      <c r="I118" s="1" t="s">
        <v>25</v>
      </c>
      <c r="J118" s="1" t="s">
        <v>20</v>
      </c>
      <c r="K118" s="1" t="s">
        <v>26</v>
      </c>
      <c r="L118" s="1">
        <v>2.0</v>
      </c>
      <c r="M118" s="3">
        <v>42908.0</v>
      </c>
      <c r="N118" s="4">
        <f t="shared" si="1"/>
        <v>6</v>
      </c>
      <c r="O118" s="4">
        <f t="shared" si="2"/>
        <v>2017</v>
      </c>
    </row>
    <row r="119">
      <c r="A119" s="1">
        <v>118.0</v>
      </c>
      <c r="B119" s="1" t="s">
        <v>107</v>
      </c>
      <c r="C119" s="1">
        <v>29.0</v>
      </c>
      <c r="D119" s="1" t="s">
        <v>23</v>
      </c>
      <c r="E119" s="1" t="s">
        <v>42</v>
      </c>
      <c r="F119" s="1" t="s">
        <v>37</v>
      </c>
      <c r="G119" s="1">
        <v>12.0</v>
      </c>
      <c r="H119" s="1">
        <v>37772.0</v>
      </c>
      <c r="I119" s="1" t="s">
        <v>19</v>
      </c>
      <c r="J119" s="1" t="s">
        <v>34</v>
      </c>
      <c r="K119" s="1" t="s">
        <v>26</v>
      </c>
      <c r="L119" s="1">
        <v>1.0</v>
      </c>
      <c r="M119" s="3">
        <v>41736.0</v>
      </c>
      <c r="N119" s="4">
        <f t="shared" si="1"/>
        <v>4</v>
      </c>
      <c r="O119" s="4">
        <f t="shared" si="2"/>
        <v>2014</v>
      </c>
    </row>
    <row r="120">
      <c r="A120" s="1">
        <v>119.0</v>
      </c>
      <c r="B120" s="1" t="s">
        <v>50</v>
      </c>
      <c r="C120" s="1">
        <v>33.0</v>
      </c>
      <c r="D120" s="1" t="s">
        <v>16</v>
      </c>
      <c r="E120" s="1" t="s">
        <v>39</v>
      </c>
      <c r="F120" s="1" t="s">
        <v>24</v>
      </c>
      <c r="G120" s="1">
        <v>3.0</v>
      </c>
      <c r="H120" s="1">
        <v>50382.0</v>
      </c>
      <c r="I120" s="1" t="s">
        <v>19</v>
      </c>
      <c r="J120" s="1" t="s">
        <v>29</v>
      </c>
      <c r="K120" s="1" t="s">
        <v>26</v>
      </c>
      <c r="L120" s="1">
        <v>5.0</v>
      </c>
      <c r="M120" s="3">
        <v>45174.0</v>
      </c>
      <c r="N120" s="4">
        <f t="shared" si="1"/>
        <v>9</v>
      </c>
      <c r="O120" s="4">
        <f t="shared" si="2"/>
        <v>2023</v>
      </c>
    </row>
    <row r="121">
      <c r="A121" s="1">
        <v>120.0</v>
      </c>
      <c r="B121" s="1" t="s">
        <v>95</v>
      </c>
      <c r="C121" s="1">
        <v>52.0</v>
      </c>
      <c r="D121" s="1" t="s">
        <v>16</v>
      </c>
      <c r="E121" s="1" t="s">
        <v>39</v>
      </c>
      <c r="F121" s="1" t="s">
        <v>18</v>
      </c>
      <c r="G121" s="1">
        <v>1.0</v>
      </c>
      <c r="H121" s="1">
        <v>88184.0</v>
      </c>
      <c r="I121" s="1" t="s">
        <v>51</v>
      </c>
      <c r="J121" s="1" t="s">
        <v>29</v>
      </c>
      <c r="K121" s="1" t="s">
        <v>21</v>
      </c>
      <c r="L121" s="1">
        <v>4.0</v>
      </c>
      <c r="M121" s="3">
        <v>45865.0</v>
      </c>
      <c r="N121" s="4">
        <f t="shared" si="1"/>
        <v>7</v>
      </c>
      <c r="O121" s="4">
        <f t="shared" si="2"/>
        <v>2025</v>
      </c>
    </row>
    <row r="122">
      <c r="A122" s="1">
        <v>121.0</v>
      </c>
      <c r="B122" s="1" t="s">
        <v>108</v>
      </c>
      <c r="C122" s="1">
        <v>46.0</v>
      </c>
      <c r="D122" s="1" t="s">
        <v>23</v>
      </c>
      <c r="E122" s="1" t="s">
        <v>17</v>
      </c>
      <c r="F122" s="1" t="s">
        <v>24</v>
      </c>
      <c r="G122" s="1">
        <v>2.0</v>
      </c>
      <c r="H122" s="1">
        <v>62410.0</v>
      </c>
      <c r="I122" s="1" t="s">
        <v>38</v>
      </c>
      <c r="J122" s="1" t="s">
        <v>29</v>
      </c>
      <c r="K122" s="1" t="s">
        <v>21</v>
      </c>
      <c r="L122" s="1">
        <v>1.0</v>
      </c>
      <c r="M122" s="3">
        <v>45309.0</v>
      </c>
      <c r="N122" s="4">
        <f t="shared" si="1"/>
        <v>1</v>
      </c>
      <c r="O122" s="4">
        <f t="shared" si="2"/>
        <v>2024</v>
      </c>
    </row>
    <row r="123">
      <c r="A123" s="1">
        <v>122.0</v>
      </c>
      <c r="B123" s="1" t="s">
        <v>109</v>
      </c>
      <c r="C123" s="1">
        <v>28.0</v>
      </c>
      <c r="D123" s="1" t="s">
        <v>23</v>
      </c>
      <c r="E123" s="1" t="s">
        <v>31</v>
      </c>
      <c r="F123" s="1" t="s">
        <v>32</v>
      </c>
      <c r="G123" s="1">
        <v>5.0</v>
      </c>
      <c r="H123" s="1">
        <v>59910.0</v>
      </c>
      <c r="I123" s="1" t="s">
        <v>38</v>
      </c>
      <c r="J123" s="1" t="s">
        <v>29</v>
      </c>
      <c r="K123" s="1" t="s">
        <v>26</v>
      </c>
      <c r="L123" s="1">
        <v>5.0</v>
      </c>
      <c r="M123" s="3">
        <v>44532.0</v>
      </c>
      <c r="N123" s="4">
        <f t="shared" si="1"/>
        <v>12</v>
      </c>
      <c r="O123" s="4">
        <f t="shared" si="2"/>
        <v>2021</v>
      </c>
    </row>
    <row r="124">
      <c r="A124" s="1">
        <v>123.0</v>
      </c>
      <c r="B124" s="1" t="s">
        <v>110</v>
      </c>
      <c r="C124" s="1">
        <v>53.0</v>
      </c>
      <c r="D124" s="1" t="s">
        <v>23</v>
      </c>
      <c r="E124" s="1" t="s">
        <v>36</v>
      </c>
      <c r="F124" s="1" t="s">
        <v>18</v>
      </c>
      <c r="G124" s="1">
        <v>14.0</v>
      </c>
      <c r="H124" s="1">
        <v>29847.0</v>
      </c>
      <c r="I124" s="1" t="s">
        <v>33</v>
      </c>
      <c r="J124" s="1" t="s">
        <v>29</v>
      </c>
      <c r="K124" s="1" t="s">
        <v>21</v>
      </c>
      <c r="L124" s="1">
        <v>4.0</v>
      </c>
      <c r="M124" s="3">
        <v>41232.0</v>
      </c>
      <c r="N124" s="4">
        <f t="shared" si="1"/>
        <v>11</v>
      </c>
      <c r="O124" s="4">
        <f t="shared" si="2"/>
        <v>2012</v>
      </c>
    </row>
    <row r="125">
      <c r="A125" s="1">
        <v>124.0</v>
      </c>
      <c r="B125" s="1" t="s">
        <v>87</v>
      </c>
      <c r="C125" s="1">
        <v>35.0</v>
      </c>
      <c r="D125" s="1" t="s">
        <v>16</v>
      </c>
      <c r="E125" s="1" t="s">
        <v>28</v>
      </c>
      <c r="F125" s="1" t="s">
        <v>24</v>
      </c>
      <c r="G125" s="1">
        <v>7.0</v>
      </c>
      <c r="H125" s="1">
        <v>32072.0</v>
      </c>
      <c r="I125" s="1" t="s">
        <v>51</v>
      </c>
      <c r="J125" s="1" t="s">
        <v>34</v>
      </c>
      <c r="K125" s="1" t="s">
        <v>26</v>
      </c>
      <c r="L125" s="1">
        <v>5.0</v>
      </c>
      <c r="M125" s="3">
        <v>43506.0</v>
      </c>
      <c r="N125" s="4">
        <f t="shared" si="1"/>
        <v>2</v>
      </c>
      <c r="O125" s="4">
        <f t="shared" si="2"/>
        <v>2019</v>
      </c>
    </row>
    <row r="126">
      <c r="A126" s="1">
        <v>125.0</v>
      </c>
      <c r="B126" s="1" t="s">
        <v>105</v>
      </c>
      <c r="C126" s="1">
        <v>59.0</v>
      </c>
      <c r="D126" s="1" t="s">
        <v>16</v>
      </c>
      <c r="E126" s="1" t="s">
        <v>39</v>
      </c>
      <c r="F126" s="1" t="s">
        <v>49</v>
      </c>
      <c r="G126" s="1">
        <v>8.0</v>
      </c>
      <c r="H126" s="1">
        <v>35683.0</v>
      </c>
      <c r="I126" s="1" t="s">
        <v>43</v>
      </c>
      <c r="J126" s="1" t="s">
        <v>34</v>
      </c>
      <c r="K126" s="1" t="s">
        <v>26</v>
      </c>
      <c r="L126" s="1">
        <v>2.0</v>
      </c>
      <c r="M126" s="3">
        <v>43437.0</v>
      </c>
      <c r="N126" s="4">
        <f t="shared" si="1"/>
        <v>12</v>
      </c>
      <c r="O126" s="4">
        <f t="shared" si="2"/>
        <v>2018</v>
      </c>
    </row>
    <row r="127">
      <c r="A127" s="1">
        <v>126.0</v>
      </c>
      <c r="B127" s="1" t="s">
        <v>58</v>
      </c>
      <c r="C127" s="1">
        <v>38.0</v>
      </c>
      <c r="D127" s="1" t="s">
        <v>23</v>
      </c>
      <c r="E127" s="1" t="s">
        <v>39</v>
      </c>
      <c r="F127" s="1" t="s">
        <v>32</v>
      </c>
      <c r="G127" s="1">
        <v>14.0</v>
      </c>
      <c r="H127" s="1">
        <v>116691.0</v>
      </c>
      <c r="I127" s="1" t="s">
        <v>25</v>
      </c>
      <c r="J127" s="1" t="s">
        <v>34</v>
      </c>
      <c r="K127" s="1" t="s">
        <v>21</v>
      </c>
      <c r="L127" s="1">
        <v>2.0</v>
      </c>
      <c r="M127" s="3">
        <v>41163.0</v>
      </c>
      <c r="N127" s="4">
        <f t="shared" si="1"/>
        <v>9</v>
      </c>
      <c r="O127" s="4">
        <f t="shared" si="2"/>
        <v>2012</v>
      </c>
    </row>
    <row r="128">
      <c r="A128" s="1">
        <v>127.0</v>
      </c>
      <c r="B128" s="1" t="s">
        <v>56</v>
      </c>
      <c r="C128" s="1">
        <v>40.0</v>
      </c>
      <c r="D128" s="1" t="s">
        <v>23</v>
      </c>
      <c r="E128" s="1" t="s">
        <v>39</v>
      </c>
      <c r="F128" s="1" t="s">
        <v>32</v>
      </c>
      <c r="G128" s="1">
        <v>14.0</v>
      </c>
      <c r="H128" s="1">
        <v>84897.0</v>
      </c>
      <c r="I128" s="1" t="s">
        <v>51</v>
      </c>
      <c r="J128" s="1" t="s">
        <v>34</v>
      </c>
      <c r="K128" s="1" t="s">
        <v>21</v>
      </c>
      <c r="L128" s="1">
        <v>1.0</v>
      </c>
      <c r="M128" s="3">
        <v>41022.0</v>
      </c>
      <c r="N128" s="4">
        <f t="shared" si="1"/>
        <v>4</v>
      </c>
      <c r="O128" s="4">
        <f t="shared" si="2"/>
        <v>2012</v>
      </c>
    </row>
    <row r="129">
      <c r="A129" s="1">
        <v>128.0</v>
      </c>
      <c r="B129" s="1" t="s">
        <v>72</v>
      </c>
      <c r="C129" s="1">
        <v>50.0</v>
      </c>
      <c r="D129" s="1" t="s">
        <v>23</v>
      </c>
      <c r="E129" s="1" t="s">
        <v>28</v>
      </c>
      <c r="F129" s="1" t="s">
        <v>37</v>
      </c>
      <c r="G129" s="1">
        <v>3.0</v>
      </c>
      <c r="H129" s="1">
        <v>109990.0</v>
      </c>
      <c r="I129" s="1" t="s">
        <v>38</v>
      </c>
      <c r="J129" s="1" t="s">
        <v>29</v>
      </c>
      <c r="K129" s="1" t="s">
        <v>21</v>
      </c>
      <c r="L129" s="1">
        <v>1.0</v>
      </c>
      <c r="M129" s="3">
        <v>45081.0</v>
      </c>
      <c r="N129" s="4">
        <f t="shared" si="1"/>
        <v>6</v>
      </c>
      <c r="O129" s="4">
        <f t="shared" si="2"/>
        <v>2023</v>
      </c>
    </row>
    <row r="130">
      <c r="A130" s="1">
        <v>129.0</v>
      </c>
      <c r="B130" s="1" t="s">
        <v>40</v>
      </c>
      <c r="C130" s="1">
        <v>27.0</v>
      </c>
      <c r="D130" s="1" t="s">
        <v>16</v>
      </c>
      <c r="E130" s="1" t="s">
        <v>31</v>
      </c>
      <c r="F130" s="1" t="s">
        <v>18</v>
      </c>
      <c r="G130" s="1">
        <v>7.0</v>
      </c>
      <c r="H130" s="1">
        <v>40047.0</v>
      </c>
      <c r="I130" s="1" t="s">
        <v>19</v>
      </c>
      <c r="J130" s="1" t="s">
        <v>20</v>
      </c>
      <c r="K130" s="1" t="s">
        <v>26</v>
      </c>
      <c r="L130" s="1">
        <v>5.0</v>
      </c>
      <c r="M130" s="3">
        <v>43668.0</v>
      </c>
      <c r="N130" s="4">
        <f t="shared" si="1"/>
        <v>7</v>
      </c>
      <c r="O130" s="4">
        <f t="shared" si="2"/>
        <v>2019</v>
      </c>
    </row>
    <row r="131">
      <c r="A131" s="1">
        <v>130.0</v>
      </c>
      <c r="B131" s="1" t="s">
        <v>82</v>
      </c>
      <c r="C131" s="1">
        <v>50.0</v>
      </c>
      <c r="D131" s="1" t="s">
        <v>23</v>
      </c>
      <c r="E131" s="1" t="s">
        <v>42</v>
      </c>
      <c r="F131" s="1" t="s">
        <v>32</v>
      </c>
      <c r="G131" s="1">
        <v>8.0</v>
      </c>
      <c r="H131" s="1">
        <v>35031.0</v>
      </c>
      <c r="I131" s="1" t="s">
        <v>19</v>
      </c>
      <c r="J131" s="1" t="s">
        <v>20</v>
      </c>
      <c r="K131" s="1" t="s">
        <v>21</v>
      </c>
      <c r="L131" s="1">
        <v>3.0</v>
      </c>
      <c r="M131" s="3">
        <v>43187.0</v>
      </c>
      <c r="N131" s="4">
        <f t="shared" si="1"/>
        <v>3</v>
      </c>
      <c r="O131" s="4">
        <f t="shared" si="2"/>
        <v>2018</v>
      </c>
    </row>
    <row r="132">
      <c r="A132" s="1">
        <v>131.0</v>
      </c>
      <c r="B132" s="1" t="s">
        <v>107</v>
      </c>
      <c r="C132" s="1">
        <v>52.0</v>
      </c>
      <c r="D132" s="1" t="s">
        <v>16</v>
      </c>
      <c r="E132" s="1" t="s">
        <v>36</v>
      </c>
      <c r="F132" s="1" t="s">
        <v>24</v>
      </c>
      <c r="G132" s="1">
        <v>4.0</v>
      </c>
      <c r="H132" s="1">
        <v>93840.0</v>
      </c>
      <c r="I132" s="1" t="s">
        <v>33</v>
      </c>
      <c r="J132" s="1" t="s">
        <v>29</v>
      </c>
      <c r="K132" s="1" t="s">
        <v>21</v>
      </c>
      <c r="L132" s="1">
        <v>1.0</v>
      </c>
      <c r="M132" s="3">
        <v>44887.0</v>
      </c>
      <c r="N132" s="4">
        <f t="shared" si="1"/>
        <v>11</v>
      </c>
      <c r="O132" s="4">
        <f t="shared" si="2"/>
        <v>2022</v>
      </c>
    </row>
    <row r="133">
      <c r="A133" s="1">
        <v>132.0</v>
      </c>
      <c r="B133" s="1" t="s">
        <v>111</v>
      </c>
      <c r="C133" s="1">
        <v>55.0</v>
      </c>
      <c r="D133" s="1" t="s">
        <v>23</v>
      </c>
      <c r="E133" s="1" t="s">
        <v>31</v>
      </c>
      <c r="F133" s="1" t="s">
        <v>18</v>
      </c>
      <c r="G133" s="1">
        <v>10.0</v>
      </c>
      <c r="H133" s="1">
        <v>37196.0</v>
      </c>
      <c r="I133" s="1" t="s">
        <v>19</v>
      </c>
      <c r="J133" s="1" t="s">
        <v>29</v>
      </c>
      <c r="K133" s="1" t="s">
        <v>21</v>
      </c>
      <c r="L133" s="1">
        <v>5.0</v>
      </c>
      <c r="M133" s="3">
        <v>42412.0</v>
      </c>
      <c r="N133" s="4">
        <f t="shared" si="1"/>
        <v>2</v>
      </c>
      <c r="O133" s="4">
        <f t="shared" si="2"/>
        <v>2016</v>
      </c>
    </row>
    <row r="134">
      <c r="A134" s="1">
        <v>133.0</v>
      </c>
      <c r="B134" s="1" t="s">
        <v>77</v>
      </c>
      <c r="C134" s="1">
        <v>55.0</v>
      </c>
      <c r="D134" s="1" t="s">
        <v>23</v>
      </c>
      <c r="E134" s="1" t="s">
        <v>28</v>
      </c>
      <c r="F134" s="1" t="s">
        <v>24</v>
      </c>
      <c r="G134" s="1">
        <v>2.0</v>
      </c>
      <c r="H134" s="1">
        <v>46508.0</v>
      </c>
      <c r="I134" s="1" t="s">
        <v>19</v>
      </c>
      <c r="J134" s="1" t="s">
        <v>20</v>
      </c>
      <c r="K134" s="1" t="s">
        <v>26</v>
      </c>
      <c r="L134" s="1">
        <v>4.0</v>
      </c>
      <c r="M134" s="3">
        <v>45463.0</v>
      </c>
      <c r="N134" s="4">
        <f t="shared" si="1"/>
        <v>6</v>
      </c>
      <c r="O134" s="4">
        <f t="shared" si="2"/>
        <v>2024</v>
      </c>
    </row>
    <row r="135">
      <c r="A135" s="1">
        <v>134.0</v>
      </c>
      <c r="B135" s="1" t="s">
        <v>104</v>
      </c>
      <c r="C135" s="1">
        <v>52.0</v>
      </c>
      <c r="D135" s="1" t="s">
        <v>16</v>
      </c>
      <c r="E135" s="1" t="s">
        <v>39</v>
      </c>
      <c r="F135" s="1" t="s">
        <v>24</v>
      </c>
      <c r="G135" s="1">
        <v>0.0</v>
      </c>
      <c r="H135" s="1">
        <v>42223.0</v>
      </c>
      <c r="I135" s="1" t="s">
        <v>43</v>
      </c>
      <c r="J135" s="1" t="s">
        <v>34</v>
      </c>
      <c r="K135" s="1" t="s">
        <v>21</v>
      </c>
      <c r="L135" s="1">
        <v>3.0</v>
      </c>
      <c r="M135" s="3">
        <v>46152.0</v>
      </c>
      <c r="N135" s="4">
        <f t="shared" si="1"/>
        <v>5</v>
      </c>
      <c r="O135" s="4">
        <f t="shared" si="2"/>
        <v>2026</v>
      </c>
    </row>
    <row r="136">
      <c r="A136" s="1">
        <v>135.0</v>
      </c>
      <c r="B136" s="1" t="s">
        <v>112</v>
      </c>
      <c r="C136" s="1">
        <v>58.0</v>
      </c>
      <c r="D136" s="1" t="s">
        <v>23</v>
      </c>
      <c r="E136" s="1" t="s">
        <v>17</v>
      </c>
      <c r="F136" s="1" t="s">
        <v>32</v>
      </c>
      <c r="G136" s="1">
        <v>7.0</v>
      </c>
      <c r="H136" s="1">
        <v>102701.0</v>
      </c>
      <c r="I136" s="1" t="s">
        <v>25</v>
      </c>
      <c r="J136" s="1" t="s">
        <v>34</v>
      </c>
      <c r="K136" s="1" t="s">
        <v>21</v>
      </c>
      <c r="L136" s="1">
        <v>4.0</v>
      </c>
      <c r="M136" s="3">
        <v>43513.0</v>
      </c>
      <c r="N136" s="4">
        <f t="shared" si="1"/>
        <v>2</v>
      </c>
      <c r="O136" s="4">
        <f t="shared" si="2"/>
        <v>2019</v>
      </c>
    </row>
    <row r="137">
      <c r="A137" s="1">
        <v>136.0</v>
      </c>
      <c r="B137" s="1" t="s">
        <v>79</v>
      </c>
      <c r="C137" s="1">
        <v>23.0</v>
      </c>
      <c r="D137" s="1" t="s">
        <v>23</v>
      </c>
      <c r="E137" s="1" t="s">
        <v>42</v>
      </c>
      <c r="F137" s="1" t="s">
        <v>18</v>
      </c>
      <c r="G137" s="1">
        <v>2.0</v>
      </c>
      <c r="H137" s="1">
        <v>62191.0</v>
      </c>
      <c r="I137" s="1" t="s">
        <v>38</v>
      </c>
      <c r="J137" s="1" t="s">
        <v>29</v>
      </c>
      <c r="K137" s="1" t="s">
        <v>21</v>
      </c>
      <c r="L137" s="1">
        <v>2.0</v>
      </c>
      <c r="M137" s="3">
        <v>45499.0</v>
      </c>
      <c r="N137" s="4">
        <f t="shared" si="1"/>
        <v>7</v>
      </c>
      <c r="O137" s="4">
        <f t="shared" si="2"/>
        <v>2024</v>
      </c>
    </row>
    <row r="138">
      <c r="A138" s="1">
        <v>137.0</v>
      </c>
      <c r="B138" s="1" t="s">
        <v>52</v>
      </c>
      <c r="C138" s="1">
        <v>45.0</v>
      </c>
      <c r="D138" s="1" t="s">
        <v>16</v>
      </c>
      <c r="E138" s="1" t="s">
        <v>28</v>
      </c>
      <c r="F138" s="1" t="s">
        <v>18</v>
      </c>
      <c r="G138" s="1">
        <v>9.0</v>
      </c>
      <c r="H138" s="1">
        <v>34560.0</v>
      </c>
      <c r="I138" s="1" t="s">
        <v>51</v>
      </c>
      <c r="J138" s="1" t="s">
        <v>34</v>
      </c>
      <c r="K138" s="1" t="s">
        <v>21</v>
      </c>
      <c r="L138" s="1">
        <v>3.0</v>
      </c>
      <c r="M138" s="3">
        <v>42738.0</v>
      </c>
      <c r="N138" s="4">
        <f t="shared" si="1"/>
        <v>1</v>
      </c>
      <c r="O138" s="4">
        <f t="shared" si="2"/>
        <v>2017</v>
      </c>
    </row>
    <row r="139">
      <c r="A139" s="1">
        <v>138.0</v>
      </c>
      <c r="B139" s="1" t="s">
        <v>54</v>
      </c>
      <c r="C139" s="1">
        <v>45.0</v>
      </c>
      <c r="D139" s="1" t="s">
        <v>23</v>
      </c>
      <c r="E139" s="1" t="s">
        <v>28</v>
      </c>
      <c r="F139" s="1" t="s">
        <v>37</v>
      </c>
      <c r="G139" s="1">
        <v>4.0</v>
      </c>
      <c r="H139" s="1">
        <v>35818.0</v>
      </c>
      <c r="I139" s="1" t="s">
        <v>38</v>
      </c>
      <c r="J139" s="1" t="s">
        <v>34</v>
      </c>
      <c r="K139" s="1" t="s">
        <v>21</v>
      </c>
      <c r="L139" s="1">
        <v>4.0</v>
      </c>
      <c r="M139" s="3">
        <v>44851.0</v>
      </c>
      <c r="N139" s="4">
        <f t="shared" si="1"/>
        <v>10</v>
      </c>
      <c r="O139" s="4">
        <f t="shared" si="2"/>
        <v>2022</v>
      </c>
    </row>
    <row r="140">
      <c r="A140" s="1">
        <v>139.0</v>
      </c>
      <c r="B140" s="1" t="s">
        <v>55</v>
      </c>
      <c r="C140" s="1">
        <v>50.0</v>
      </c>
      <c r="D140" s="1" t="s">
        <v>16</v>
      </c>
      <c r="E140" s="1" t="s">
        <v>36</v>
      </c>
      <c r="F140" s="1" t="s">
        <v>24</v>
      </c>
      <c r="G140" s="1">
        <v>2.0</v>
      </c>
      <c r="H140" s="1">
        <v>32861.0</v>
      </c>
      <c r="I140" s="1" t="s">
        <v>19</v>
      </c>
      <c r="J140" s="1" t="s">
        <v>29</v>
      </c>
      <c r="K140" s="1" t="s">
        <v>26</v>
      </c>
      <c r="L140" s="1">
        <v>1.0</v>
      </c>
      <c r="M140" s="3">
        <v>45538.0</v>
      </c>
      <c r="N140" s="4">
        <f t="shared" si="1"/>
        <v>9</v>
      </c>
      <c r="O140" s="4">
        <f t="shared" si="2"/>
        <v>2024</v>
      </c>
    </row>
    <row r="141">
      <c r="A141" s="1">
        <v>140.0</v>
      </c>
      <c r="B141" s="1" t="s">
        <v>77</v>
      </c>
      <c r="C141" s="1">
        <v>32.0</v>
      </c>
      <c r="D141" s="1" t="s">
        <v>23</v>
      </c>
      <c r="E141" s="1" t="s">
        <v>36</v>
      </c>
      <c r="F141" s="1" t="s">
        <v>49</v>
      </c>
      <c r="G141" s="1">
        <v>14.0</v>
      </c>
      <c r="H141" s="1">
        <v>97889.0</v>
      </c>
      <c r="I141" s="1" t="s">
        <v>25</v>
      </c>
      <c r="J141" s="1" t="s">
        <v>20</v>
      </c>
      <c r="K141" s="1" t="s">
        <v>21</v>
      </c>
      <c r="L141" s="1">
        <v>4.0</v>
      </c>
      <c r="M141" s="3">
        <v>40979.0</v>
      </c>
      <c r="N141" s="4">
        <f t="shared" si="1"/>
        <v>3</v>
      </c>
      <c r="O141" s="4">
        <f t="shared" si="2"/>
        <v>2012</v>
      </c>
    </row>
    <row r="142">
      <c r="A142" s="1">
        <v>141.0</v>
      </c>
      <c r="B142" s="1" t="s">
        <v>86</v>
      </c>
      <c r="C142" s="1">
        <v>42.0</v>
      </c>
      <c r="D142" s="1" t="s">
        <v>23</v>
      </c>
      <c r="E142" s="1" t="s">
        <v>28</v>
      </c>
      <c r="F142" s="1" t="s">
        <v>37</v>
      </c>
      <c r="G142" s="1">
        <v>14.0</v>
      </c>
      <c r="H142" s="1">
        <v>56631.0</v>
      </c>
      <c r="I142" s="1" t="s">
        <v>19</v>
      </c>
      <c r="J142" s="1" t="s">
        <v>29</v>
      </c>
      <c r="K142" s="1" t="s">
        <v>26</v>
      </c>
      <c r="L142" s="1">
        <v>2.0</v>
      </c>
      <c r="M142" s="3">
        <v>41041.0</v>
      </c>
      <c r="N142" s="4">
        <f t="shared" si="1"/>
        <v>5</v>
      </c>
      <c r="O142" s="4">
        <f t="shared" si="2"/>
        <v>2012</v>
      </c>
    </row>
    <row r="143">
      <c r="A143" s="1">
        <v>142.0</v>
      </c>
      <c r="B143" s="1" t="s">
        <v>79</v>
      </c>
      <c r="C143" s="1">
        <v>23.0</v>
      </c>
      <c r="D143" s="1" t="s">
        <v>23</v>
      </c>
      <c r="E143" s="1" t="s">
        <v>39</v>
      </c>
      <c r="F143" s="1" t="s">
        <v>24</v>
      </c>
      <c r="G143" s="1">
        <v>4.0</v>
      </c>
      <c r="H143" s="1">
        <v>82099.0</v>
      </c>
      <c r="I143" s="1" t="s">
        <v>43</v>
      </c>
      <c r="J143" s="1" t="s">
        <v>34</v>
      </c>
      <c r="K143" s="1" t="s">
        <v>21</v>
      </c>
      <c r="L143" s="1">
        <v>5.0</v>
      </c>
      <c r="M143" s="3">
        <v>44917.0</v>
      </c>
      <c r="N143" s="4">
        <f t="shared" si="1"/>
        <v>12</v>
      </c>
      <c r="O143" s="4">
        <f t="shared" si="2"/>
        <v>2022</v>
      </c>
    </row>
    <row r="144">
      <c r="A144" s="1">
        <v>143.0</v>
      </c>
      <c r="B144" s="1" t="s">
        <v>66</v>
      </c>
      <c r="C144" s="1">
        <v>54.0</v>
      </c>
      <c r="D144" s="1" t="s">
        <v>23</v>
      </c>
      <c r="E144" s="1" t="s">
        <v>39</v>
      </c>
      <c r="F144" s="1" t="s">
        <v>37</v>
      </c>
      <c r="G144" s="1">
        <v>11.0</v>
      </c>
      <c r="H144" s="1">
        <v>119349.0</v>
      </c>
      <c r="I144" s="1" t="s">
        <v>38</v>
      </c>
      <c r="J144" s="1" t="s">
        <v>20</v>
      </c>
      <c r="K144" s="1" t="s">
        <v>26</v>
      </c>
      <c r="L144" s="1">
        <v>3.0</v>
      </c>
      <c r="M144" s="3">
        <v>42141.0</v>
      </c>
      <c r="N144" s="4">
        <f t="shared" si="1"/>
        <v>5</v>
      </c>
      <c r="O144" s="4">
        <f t="shared" si="2"/>
        <v>2015</v>
      </c>
    </row>
    <row r="145">
      <c r="A145" s="1">
        <v>144.0</v>
      </c>
      <c r="B145" s="1" t="s">
        <v>52</v>
      </c>
      <c r="C145" s="1">
        <v>28.0</v>
      </c>
      <c r="D145" s="1" t="s">
        <v>23</v>
      </c>
      <c r="E145" s="1" t="s">
        <v>28</v>
      </c>
      <c r="F145" s="1" t="s">
        <v>49</v>
      </c>
      <c r="G145" s="1">
        <v>5.0</v>
      </c>
      <c r="H145" s="1">
        <v>26845.0</v>
      </c>
      <c r="I145" s="1" t="s">
        <v>43</v>
      </c>
      <c r="J145" s="1" t="s">
        <v>20</v>
      </c>
      <c r="K145" s="1" t="s">
        <v>21</v>
      </c>
      <c r="L145" s="1">
        <v>5.0</v>
      </c>
      <c r="M145" s="3">
        <v>44231.0</v>
      </c>
      <c r="N145" s="4">
        <f t="shared" si="1"/>
        <v>2</v>
      </c>
      <c r="O145" s="4">
        <f t="shared" si="2"/>
        <v>2021</v>
      </c>
    </row>
    <row r="146">
      <c r="A146" s="1">
        <v>145.0</v>
      </c>
      <c r="B146" s="1" t="s">
        <v>100</v>
      </c>
      <c r="C146" s="1">
        <v>27.0</v>
      </c>
      <c r="D146" s="1" t="s">
        <v>16</v>
      </c>
      <c r="E146" s="1" t="s">
        <v>39</v>
      </c>
      <c r="F146" s="1" t="s">
        <v>32</v>
      </c>
      <c r="G146" s="1">
        <v>6.0</v>
      </c>
      <c r="H146" s="1">
        <v>79079.0</v>
      </c>
      <c r="I146" s="1" t="s">
        <v>33</v>
      </c>
      <c r="J146" s="1" t="s">
        <v>34</v>
      </c>
      <c r="K146" s="1" t="s">
        <v>21</v>
      </c>
      <c r="L146" s="1">
        <v>1.0</v>
      </c>
      <c r="M146" s="3">
        <v>43992.0</v>
      </c>
      <c r="N146" s="4">
        <f t="shared" si="1"/>
        <v>6</v>
      </c>
      <c r="O146" s="4">
        <f t="shared" si="2"/>
        <v>2020</v>
      </c>
    </row>
    <row r="147">
      <c r="A147" s="1">
        <v>146.0</v>
      </c>
      <c r="B147" s="1" t="s">
        <v>95</v>
      </c>
      <c r="C147" s="1">
        <v>22.0</v>
      </c>
      <c r="D147" s="1" t="s">
        <v>16</v>
      </c>
      <c r="E147" s="1" t="s">
        <v>39</v>
      </c>
      <c r="F147" s="1" t="s">
        <v>32</v>
      </c>
      <c r="G147" s="1">
        <v>7.0</v>
      </c>
      <c r="H147" s="1">
        <v>45966.0</v>
      </c>
      <c r="I147" s="1" t="s">
        <v>51</v>
      </c>
      <c r="J147" s="1" t="s">
        <v>29</v>
      </c>
      <c r="K147" s="1" t="s">
        <v>26</v>
      </c>
      <c r="L147" s="1">
        <v>3.0</v>
      </c>
      <c r="M147" s="3">
        <v>43762.0</v>
      </c>
      <c r="N147" s="4">
        <f t="shared" si="1"/>
        <v>10</v>
      </c>
      <c r="O147" s="4">
        <f t="shared" si="2"/>
        <v>2019</v>
      </c>
    </row>
    <row r="148">
      <c r="A148" s="1">
        <v>147.0</v>
      </c>
      <c r="B148" s="1" t="s">
        <v>59</v>
      </c>
      <c r="C148" s="1">
        <v>59.0</v>
      </c>
      <c r="D148" s="1" t="s">
        <v>16</v>
      </c>
      <c r="E148" s="1" t="s">
        <v>28</v>
      </c>
      <c r="F148" s="1" t="s">
        <v>24</v>
      </c>
      <c r="G148" s="1">
        <v>14.0</v>
      </c>
      <c r="H148" s="1">
        <v>102890.0</v>
      </c>
      <c r="I148" s="1" t="s">
        <v>38</v>
      </c>
      <c r="J148" s="1" t="s">
        <v>29</v>
      </c>
      <c r="K148" s="1" t="s">
        <v>21</v>
      </c>
      <c r="L148" s="1">
        <v>5.0</v>
      </c>
      <c r="M148" s="3">
        <v>41138.0</v>
      </c>
      <c r="N148" s="4">
        <f t="shared" si="1"/>
        <v>8</v>
      </c>
      <c r="O148" s="4">
        <f t="shared" si="2"/>
        <v>2012</v>
      </c>
    </row>
    <row r="149">
      <c r="A149" s="1">
        <v>148.0</v>
      </c>
      <c r="B149" s="1" t="s">
        <v>113</v>
      </c>
      <c r="C149" s="1">
        <v>27.0</v>
      </c>
      <c r="D149" s="1" t="s">
        <v>16</v>
      </c>
      <c r="E149" s="1" t="s">
        <v>42</v>
      </c>
      <c r="F149" s="1" t="s">
        <v>32</v>
      </c>
      <c r="G149" s="1">
        <v>3.0</v>
      </c>
      <c r="H149" s="1">
        <v>109314.0</v>
      </c>
      <c r="I149" s="1" t="s">
        <v>43</v>
      </c>
      <c r="J149" s="1" t="s">
        <v>20</v>
      </c>
      <c r="K149" s="1" t="s">
        <v>26</v>
      </c>
      <c r="L149" s="1">
        <v>3.0</v>
      </c>
      <c r="M149" s="3">
        <v>45217.0</v>
      </c>
      <c r="N149" s="4">
        <f t="shared" si="1"/>
        <v>10</v>
      </c>
      <c r="O149" s="4">
        <f t="shared" si="2"/>
        <v>2023</v>
      </c>
    </row>
    <row r="150">
      <c r="A150" s="1">
        <v>149.0</v>
      </c>
      <c r="B150" s="1" t="s">
        <v>103</v>
      </c>
      <c r="C150" s="1">
        <v>43.0</v>
      </c>
      <c r="D150" s="1" t="s">
        <v>23</v>
      </c>
      <c r="E150" s="1" t="s">
        <v>31</v>
      </c>
      <c r="F150" s="1" t="s">
        <v>37</v>
      </c>
      <c r="G150" s="1">
        <v>1.0</v>
      </c>
      <c r="H150" s="1">
        <v>34550.0</v>
      </c>
      <c r="I150" s="1" t="s">
        <v>25</v>
      </c>
      <c r="J150" s="1" t="s">
        <v>34</v>
      </c>
      <c r="K150" s="1" t="s">
        <v>21</v>
      </c>
      <c r="L150" s="1">
        <v>2.0</v>
      </c>
      <c r="M150" s="3">
        <v>45810.0</v>
      </c>
      <c r="N150" s="4">
        <f t="shared" si="1"/>
        <v>6</v>
      </c>
      <c r="O150" s="4">
        <f t="shared" si="2"/>
        <v>2025</v>
      </c>
    </row>
    <row r="151">
      <c r="A151" s="1">
        <v>150.0</v>
      </c>
      <c r="B151" s="1" t="s">
        <v>105</v>
      </c>
      <c r="C151" s="1">
        <v>23.0</v>
      </c>
      <c r="D151" s="1" t="s">
        <v>16</v>
      </c>
      <c r="E151" s="1" t="s">
        <v>31</v>
      </c>
      <c r="F151" s="1" t="s">
        <v>24</v>
      </c>
      <c r="G151" s="1">
        <v>2.0</v>
      </c>
      <c r="H151" s="1">
        <v>72019.0</v>
      </c>
      <c r="I151" s="1" t="s">
        <v>38</v>
      </c>
      <c r="J151" s="1" t="s">
        <v>29</v>
      </c>
      <c r="K151" s="1" t="s">
        <v>21</v>
      </c>
      <c r="L151" s="1">
        <v>1.0</v>
      </c>
      <c r="M151" s="3">
        <v>45630.0</v>
      </c>
      <c r="N151" s="4">
        <f t="shared" si="1"/>
        <v>12</v>
      </c>
      <c r="O151" s="4">
        <f t="shared" si="2"/>
        <v>2024</v>
      </c>
    </row>
    <row r="152">
      <c r="A152" s="1">
        <v>151.0</v>
      </c>
      <c r="B152" s="1" t="s">
        <v>114</v>
      </c>
      <c r="C152" s="1">
        <v>56.0</v>
      </c>
      <c r="D152" s="1" t="s">
        <v>16</v>
      </c>
      <c r="E152" s="1" t="s">
        <v>31</v>
      </c>
      <c r="F152" s="1" t="s">
        <v>18</v>
      </c>
      <c r="G152" s="1">
        <v>6.0</v>
      </c>
      <c r="H152" s="1">
        <v>29652.0</v>
      </c>
      <c r="I152" s="1" t="s">
        <v>38</v>
      </c>
      <c r="J152" s="1" t="s">
        <v>20</v>
      </c>
      <c r="K152" s="1" t="s">
        <v>26</v>
      </c>
      <c r="L152" s="1">
        <v>2.0</v>
      </c>
      <c r="M152" s="3">
        <v>43910.0</v>
      </c>
      <c r="N152" s="4">
        <f t="shared" si="1"/>
        <v>3</v>
      </c>
      <c r="O152" s="4">
        <f t="shared" si="2"/>
        <v>2020</v>
      </c>
    </row>
    <row r="153">
      <c r="A153" s="1">
        <v>152.0</v>
      </c>
      <c r="B153" s="1" t="s">
        <v>79</v>
      </c>
      <c r="C153" s="1">
        <v>36.0</v>
      </c>
      <c r="D153" s="1" t="s">
        <v>23</v>
      </c>
      <c r="E153" s="1" t="s">
        <v>39</v>
      </c>
      <c r="F153" s="1" t="s">
        <v>18</v>
      </c>
      <c r="G153" s="1">
        <v>11.0</v>
      </c>
      <c r="H153" s="1">
        <v>118753.0</v>
      </c>
      <c r="I153" s="1" t="s">
        <v>33</v>
      </c>
      <c r="J153" s="1" t="s">
        <v>29</v>
      </c>
      <c r="K153" s="1" t="s">
        <v>21</v>
      </c>
      <c r="L153" s="1">
        <v>2.0</v>
      </c>
      <c r="M153" s="3">
        <v>42038.0</v>
      </c>
      <c r="N153" s="4">
        <f t="shared" si="1"/>
        <v>2</v>
      </c>
      <c r="O153" s="4">
        <f t="shared" si="2"/>
        <v>2015</v>
      </c>
    </row>
    <row r="154">
      <c r="A154" s="1">
        <v>153.0</v>
      </c>
      <c r="B154" s="1" t="s">
        <v>115</v>
      </c>
      <c r="C154" s="1">
        <v>42.0</v>
      </c>
      <c r="D154" s="1" t="s">
        <v>16</v>
      </c>
      <c r="E154" s="1" t="s">
        <v>31</v>
      </c>
      <c r="F154" s="1" t="s">
        <v>24</v>
      </c>
      <c r="G154" s="1">
        <v>12.0</v>
      </c>
      <c r="H154" s="1">
        <v>93834.0</v>
      </c>
      <c r="I154" s="1" t="s">
        <v>51</v>
      </c>
      <c r="J154" s="1" t="s">
        <v>29</v>
      </c>
      <c r="K154" s="1" t="s">
        <v>21</v>
      </c>
      <c r="L154" s="1">
        <v>1.0</v>
      </c>
      <c r="M154" s="3">
        <v>41674.0</v>
      </c>
      <c r="N154" s="4">
        <f t="shared" si="1"/>
        <v>2</v>
      </c>
      <c r="O154" s="4">
        <f t="shared" si="2"/>
        <v>2014</v>
      </c>
    </row>
    <row r="155">
      <c r="A155" s="1">
        <v>154.0</v>
      </c>
      <c r="B155" s="1" t="s">
        <v>101</v>
      </c>
      <c r="C155" s="1">
        <v>60.0</v>
      </c>
      <c r="D155" s="1" t="s">
        <v>23</v>
      </c>
      <c r="E155" s="1" t="s">
        <v>17</v>
      </c>
      <c r="F155" s="1" t="s">
        <v>18</v>
      </c>
      <c r="G155" s="1">
        <v>14.0</v>
      </c>
      <c r="H155" s="1">
        <v>112252.0</v>
      </c>
      <c r="I155" s="1" t="s">
        <v>43</v>
      </c>
      <c r="J155" s="1" t="s">
        <v>34</v>
      </c>
      <c r="K155" s="1" t="s">
        <v>26</v>
      </c>
      <c r="L155" s="1">
        <v>3.0</v>
      </c>
      <c r="M155" s="3">
        <v>40986.0</v>
      </c>
      <c r="N155" s="4">
        <f t="shared" si="1"/>
        <v>3</v>
      </c>
      <c r="O155" s="4">
        <f t="shared" si="2"/>
        <v>2012</v>
      </c>
    </row>
    <row r="156">
      <c r="A156" s="1">
        <v>155.0</v>
      </c>
      <c r="B156" s="1" t="s">
        <v>50</v>
      </c>
      <c r="C156" s="1">
        <v>52.0</v>
      </c>
      <c r="D156" s="1" t="s">
        <v>16</v>
      </c>
      <c r="E156" s="1" t="s">
        <v>39</v>
      </c>
      <c r="F156" s="1" t="s">
        <v>37</v>
      </c>
      <c r="G156" s="1">
        <v>5.0</v>
      </c>
      <c r="H156" s="1">
        <v>67800.0</v>
      </c>
      <c r="I156" s="1" t="s">
        <v>38</v>
      </c>
      <c r="J156" s="1" t="s">
        <v>34</v>
      </c>
      <c r="K156" s="1" t="s">
        <v>21</v>
      </c>
      <c r="L156" s="1">
        <v>5.0</v>
      </c>
      <c r="M156" s="3">
        <v>44344.0</v>
      </c>
      <c r="N156" s="4">
        <f t="shared" si="1"/>
        <v>5</v>
      </c>
      <c r="O156" s="4">
        <f t="shared" si="2"/>
        <v>2021</v>
      </c>
    </row>
    <row r="157">
      <c r="A157" s="1">
        <v>156.0</v>
      </c>
      <c r="B157" s="1" t="s">
        <v>113</v>
      </c>
      <c r="C157" s="1">
        <v>33.0</v>
      </c>
      <c r="D157" s="1" t="s">
        <v>23</v>
      </c>
      <c r="E157" s="1" t="s">
        <v>42</v>
      </c>
      <c r="F157" s="1" t="s">
        <v>18</v>
      </c>
      <c r="G157" s="1">
        <v>1.0</v>
      </c>
      <c r="H157" s="1">
        <v>47169.0</v>
      </c>
      <c r="I157" s="1" t="s">
        <v>19</v>
      </c>
      <c r="J157" s="1" t="s">
        <v>34</v>
      </c>
      <c r="K157" s="1" t="s">
        <v>21</v>
      </c>
      <c r="L157" s="1">
        <v>1.0</v>
      </c>
      <c r="M157" s="3">
        <v>45805.0</v>
      </c>
      <c r="N157" s="4">
        <f t="shared" si="1"/>
        <v>5</v>
      </c>
      <c r="O157" s="4">
        <f t="shared" si="2"/>
        <v>2025</v>
      </c>
    </row>
    <row r="158">
      <c r="A158" s="1">
        <v>157.0</v>
      </c>
      <c r="B158" s="1" t="s">
        <v>78</v>
      </c>
      <c r="C158" s="1">
        <v>58.0</v>
      </c>
      <c r="D158" s="1" t="s">
        <v>23</v>
      </c>
      <c r="E158" s="1" t="s">
        <v>31</v>
      </c>
      <c r="F158" s="1" t="s">
        <v>32</v>
      </c>
      <c r="G158" s="1">
        <v>6.0</v>
      </c>
      <c r="H158" s="1">
        <v>20041.0</v>
      </c>
      <c r="I158" s="1" t="s">
        <v>33</v>
      </c>
      <c r="J158" s="1" t="s">
        <v>29</v>
      </c>
      <c r="K158" s="1" t="s">
        <v>21</v>
      </c>
      <c r="L158" s="1">
        <v>2.0</v>
      </c>
      <c r="M158" s="3">
        <v>44085.0</v>
      </c>
      <c r="N158" s="4">
        <f t="shared" si="1"/>
        <v>9</v>
      </c>
      <c r="O158" s="4">
        <f t="shared" si="2"/>
        <v>2020</v>
      </c>
    </row>
    <row r="159">
      <c r="A159" s="1">
        <v>158.0</v>
      </c>
      <c r="B159" s="1" t="s">
        <v>66</v>
      </c>
      <c r="C159" s="1">
        <v>40.0</v>
      </c>
      <c r="D159" s="1" t="s">
        <v>16</v>
      </c>
      <c r="E159" s="1" t="s">
        <v>31</v>
      </c>
      <c r="F159" s="1" t="s">
        <v>24</v>
      </c>
      <c r="G159" s="1">
        <v>9.0</v>
      </c>
      <c r="H159" s="1">
        <v>61740.0</v>
      </c>
      <c r="I159" s="1" t="s">
        <v>38</v>
      </c>
      <c r="J159" s="1" t="s">
        <v>34</v>
      </c>
      <c r="K159" s="1" t="s">
        <v>26</v>
      </c>
      <c r="L159" s="1">
        <v>2.0</v>
      </c>
      <c r="M159" s="3">
        <v>42806.0</v>
      </c>
      <c r="N159" s="4">
        <f t="shared" si="1"/>
        <v>3</v>
      </c>
      <c r="O159" s="4">
        <f t="shared" si="2"/>
        <v>2017</v>
      </c>
    </row>
    <row r="160">
      <c r="A160" s="1">
        <v>159.0</v>
      </c>
      <c r="B160" s="1" t="s">
        <v>116</v>
      </c>
      <c r="C160" s="1">
        <v>23.0</v>
      </c>
      <c r="D160" s="1" t="s">
        <v>16</v>
      </c>
      <c r="E160" s="1" t="s">
        <v>36</v>
      </c>
      <c r="F160" s="1" t="s">
        <v>37</v>
      </c>
      <c r="G160" s="1">
        <v>0.0</v>
      </c>
      <c r="H160" s="1">
        <v>94994.0</v>
      </c>
      <c r="I160" s="1" t="s">
        <v>33</v>
      </c>
      <c r="J160" s="1" t="s">
        <v>29</v>
      </c>
      <c r="K160" s="1" t="s">
        <v>26</v>
      </c>
      <c r="L160" s="1">
        <v>5.0</v>
      </c>
      <c r="M160" s="3">
        <v>46143.0</v>
      </c>
      <c r="N160" s="4">
        <f t="shared" si="1"/>
        <v>5</v>
      </c>
      <c r="O160" s="4">
        <f t="shared" si="2"/>
        <v>2026</v>
      </c>
    </row>
    <row r="161">
      <c r="A161" s="1">
        <v>160.0</v>
      </c>
      <c r="B161" s="1" t="s">
        <v>117</v>
      </c>
      <c r="C161" s="1">
        <v>28.0</v>
      </c>
      <c r="D161" s="1" t="s">
        <v>23</v>
      </c>
      <c r="E161" s="1" t="s">
        <v>28</v>
      </c>
      <c r="F161" s="1" t="s">
        <v>32</v>
      </c>
      <c r="G161" s="1">
        <v>0.0</v>
      </c>
      <c r="H161" s="1">
        <v>23434.0</v>
      </c>
      <c r="I161" s="1" t="s">
        <v>38</v>
      </c>
      <c r="J161" s="1" t="s">
        <v>34</v>
      </c>
      <c r="K161" s="1" t="s">
        <v>21</v>
      </c>
      <c r="L161" s="1">
        <v>3.0</v>
      </c>
      <c r="M161" s="3">
        <v>46306.0</v>
      </c>
      <c r="N161" s="4">
        <f t="shared" si="1"/>
        <v>10</v>
      </c>
      <c r="O161" s="4">
        <f t="shared" si="2"/>
        <v>2026</v>
      </c>
    </row>
    <row r="162">
      <c r="A162" s="1">
        <v>161.0</v>
      </c>
      <c r="B162" s="1" t="s">
        <v>46</v>
      </c>
      <c r="C162" s="1">
        <v>22.0</v>
      </c>
      <c r="D162" s="1" t="s">
        <v>23</v>
      </c>
      <c r="E162" s="1" t="s">
        <v>31</v>
      </c>
      <c r="F162" s="1" t="s">
        <v>49</v>
      </c>
      <c r="G162" s="1">
        <v>8.0</v>
      </c>
      <c r="H162" s="1">
        <v>104226.0</v>
      </c>
      <c r="I162" s="1" t="s">
        <v>25</v>
      </c>
      <c r="J162" s="1" t="s">
        <v>29</v>
      </c>
      <c r="K162" s="1" t="s">
        <v>26</v>
      </c>
      <c r="L162" s="1">
        <v>5.0</v>
      </c>
      <c r="M162" s="3">
        <v>43350.0</v>
      </c>
      <c r="N162" s="4">
        <f t="shared" si="1"/>
        <v>9</v>
      </c>
      <c r="O162" s="4">
        <f t="shared" si="2"/>
        <v>2018</v>
      </c>
    </row>
    <row r="163">
      <c r="A163" s="1">
        <v>162.0</v>
      </c>
      <c r="B163" s="1" t="s">
        <v>118</v>
      </c>
      <c r="C163" s="1">
        <v>43.0</v>
      </c>
      <c r="D163" s="1" t="s">
        <v>23</v>
      </c>
      <c r="E163" s="1" t="s">
        <v>42</v>
      </c>
      <c r="F163" s="1" t="s">
        <v>37</v>
      </c>
      <c r="G163" s="1">
        <v>5.0</v>
      </c>
      <c r="H163" s="1">
        <v>39764.0</v>
      </c>
      <c r="I163" s="1" t="s">
        <v>43</v>
      </c>
      <c r="J163" s="1" t="s">
        <v>29</v>
      </c>
      <c r="K163" s="1" t="s">
        <v>26</v>
      </c>
      <c r="L163" s="1">
        <v>1.0</v>
      </c>
      <c r="M163" s="3">
        <v>44401.0</v>
      </c>
      <c r="N163" s="4">
        <f t="shared" si="1"/>
        <v>7</v>
      </c>
      <c r="O163" s="4">
        <f t="shared" si="2"/>
        <v>2021</v>
      </c>
    </row>
    <row r="164">
      <c r="A164" s="1">
        <v>163.0</v>
      </c>
      <c r="B164" s="1" t="s">
        <v>112</v>
      </c>
      <c r="C164" s="1">
        <v>52.0</v>
      </c>
      <c r="D164" s="1" t="s">
        <v>23</v>
      </c>
      <c r="E164" s="1" t="s">
        <v>39</v>
      </c>
      <c r="F164" s="1" t="s">
        <v>49</v>
      </c>
      <c r="G164" s="1">
        <v>12.0</v>
      </c>
      <c r="H164" s="1">
        <v>75806.0</v>
      </c>
      <c r="I164" s="1" t="s">
        <v>38</v>
      </c>
      <c r="J164" s="1" t="s">
        <v>20</v>
      </c>
      <c r="K164" s="1" t="s">
        <v>26</v>
      </c>
      <c r="L164" s="1">
        <v>4.0</v>
      </c>
      <c r="M164" s="3">
        <v>41835.0</v>
      </c>
      <c r="N164" s="4">
        <f t="shared" si="1"/>
        <v>7</v>
      </c>
      <c r="O164" s="4">
        <f t="shared" si="2"/>
        <v>2014</v>
      </c>
    </row>
    <row r="165">
      <c r="A165" s="1">
        <v>164.0</v>
      </c>
      <c r="B165" s="1" t="s">
        <v>85</v>
      </c>
      <c r="C165" s="1">
        <v>39.0</v>
      </c>
      <c r="D165" s="1" t="s">
        <v>23</v>
      </c>
      <c r="E165" s="1" t="s">
        <v>39</v>
      </c>
      <c r="F165" s="1" t="s">
        <v>18</v>
      </c>
      <c r="G165" s="1">
        <v>11.0</v>
      </c>
      <c r="H165" s="1">
        <v>71124.0</v>
      </c>
      <c r="I165" s="1" t="s">
        <v>25</v>
      </c>
      <c r="J165" s="1" t="s">
        <v>20</v>
      </c>
      <c r="K165" s="1" t="s">
        <v>26</v>
      </c>
      <c r="L165" s="1">
        <v>3.0</v>
      </c>
      <c r="M165" s="3">
        <v>42039.0</v>
      </c>
      <c r="N165" s="4">
        <f t="shared" si="1"/>
        <v>2</v>
      </c>
      <c r="O165" s="4">
        <f t="shared" si="2"/>
        <v>2015</v>
      </c>
    </row>
    <row r="166">
      <c r="A166" s="1">
        <v>165.0</v>
      </c>
      <c r="B166" s="1" t="s">
        <v>63</v>
      </c>
      <c r="C166" s="1">
        <v>37.0</v>
      </c>
      <c r="D166" s="1" t="s">
        <v>16</v>
      </c>
      <c r="E166" s="1" t="s">
        <v>39</v>
      </c>
      <c r="F166" s="1" t="s">
        <v>18</v>
      </c>
      <c r="G166" s="1">
        <v>8.0</v>
      </c>
      <c r="H166" s="1">
        <v>98741.0</v>
      </c>
      <c r="I166" s="1" t="s">
        <v>43</v>
      </c>
      <c r="J166" s="1" t="s">
        <v>29</v>
      </c>
      <c r="K166" s="1" t="s">
        <v>26</v>
      </c>
      <c r="L166" s="1">
        <v>4.0</v>
      </c>
      <c r="M166" s="3">
        <v>43264.0</v>
      </c>
      <c r="N166" s="4">
        <f t="shared" si="1"/>
        <v>6</v>
      </c>
      <c r="O166" s="4">
        <f t="shared" si="2"/>
        <v>2018</v>
      </c>
    </row>
    <row r="167">
      <c r="A167" s="1">
        <v>166.0</v>
      </c>
      <c r="B167" s="1" t="s">
        <v>119</v>
      </c>
      <c r="C167" s="1">
        <v>43.0</v>
      </c>
      <c r="D167" s="1" t="s">
        <v>16</v>
      </c>
      <c r="E167" s="1" t="s">
        <v>31</v>
      </c>
      <c r="F167" s="1" t="s">
        <v>37</v>
      </c>
      <c r="G167" s="1">
        <v>1.0</v>
      </c>
      <c r="H167" s="1">
        <v>24604.0</v>
      </c>
      <c r="I167" s="1" t="s">
        <v>43</v>
      </c>
      <c r="J167" s="1" t="s">
        <v>29</v>
      </c>
      <c r="K167" s="1" t="s">
        <v>26</v>
      </c>
      <c r="L167" s="1">
        <v>4.0</v>
      </c>
      <c r="M167" s="3">
        <v>45722.0</v>
      </c>
      <c r="N167" s="4">
        <f t="shared" si="1"/>
        <v>3</v>
      </c>
      <c r="O167" s="4">
        <f t="shared" si="2"/>
        <v>2025</v>
      </c>
    </row>
    <row r="168">
      <c r="A168" s="1">
        <v>167.0</v>
      </c>
      <c r="B168" s="1" t="s">
        <v>84</v>
      </c>
      <c r="C168" s="1">
        <v>25.0</v>
      </c>
      <c r="D168" s="1" t="s">
        <v>16</v>
      </c>
      <c r="E168" s="1" t="s">
        <v>31</v>
      </c>
      <c r="F168" s="1" t="s">
        <v>32</v>
      </c>
      <c r="G168" s="1">
        <v>0.0</v>
      </c>
      <c r="H168" s="1">
        <v>115470.0</v>
      </c>
      <c r="I168" s="1" t="s">
        <v>19</v>
      </c>
      <c r="J168" s="1" t="s">
        <v>34</v>
      </c>
      <c r="K168" s="1" t="s">
        <v>26</v>
      </c>
      <c r="L168" s="1">
        <v>2.0</v>
      </c>
      <c r="M168" s="3">
        <v>46348.0</v>
      </c>
      <c r="N168" s="4">
        <f t="shared" si="1"/>
        <v>11</v>
      </c>
      <c r="O168" s="4">
        <f t="shared" si="2"/>
        <v>2026</v>
      </c>
    </row>
    <row r="169">
      <c r="A169" s="1">
        <v>168.0</v>
      </c>
      <c r="B169" s="1" t="s">
        <v>120</v>
      </c>
      <c r="C169" s="1">
        <v>44.0</v>
      </c>
      <c r="D169" s="1" t="s">
        <v>16</v>
      </c>
      <c r="E169" s="1" t="s">
        <v>28</v>
      </c>
      <c r="F169" s="1" t="s">
        <v>32</v>
      </c>
      <c r="G169" s="1">
        <v>7.0</v>
      </c>
      <c r="H169" s="1">
        <v>33881.0</v>
      </c>
      <c r="I169" s="1" t="s">
        <v>43</v>
      </c>
      <c r="J169" s="1" t="s">
        <v>34</v>
      </c>
      <c r="K169" s="1" t="s">
        <v>21</v>
      </c>
      <c r="L169" s="1">
        <v>5.0</v>
      </c>
      <c r="M169" s="3">
        <v>43814.0</v>
      </c>
      <c r="N169" s="4">
        <f t="shared" si="1"/>
        <v>12</v>
      </c>
      <c r="O169" s="4">
        <f t="shared" si="2"/>
        <v>2019</v>
      </c>
    </row>
    <row r="170">
      <c r="A170" s="1">
        <v>169.0</v>
      </c>
      <c r="B170" s="1" t="s">
        <v>108</v>
      </c>
      <c r="C170" s="1">
        <v>27.0</v>
      </c>
      <c r="D170" s="1" t="s">
        <v>16</v>
      </c>
      <c r="E170" s="1" t="s">
        <v>39</v>
      </c>
      <c r="F170" s="1" t="s">
        <v>18</v>
      </c>
      <c r="G170" s="1">
        <v>9.0</v>
      </c>
      <c r="H170" s="1">
        <v>65604.0</v>
      </c>
      <c r="I170" s="1" t="s">
        <v>33</v>
      </c>
      <c r="J170" s="1" t="s">
        <v>20</v>
      </c>
      <c r="K170" s="1" t="s">
        <v>26</v>
      </c>
      <c r="L170" s="1">
        <v>3.0</v>
      </c>
      <c r="M170" s="3">
        <v>43041.0</v>
      </c>
      <c r="N170" s="4">
        <f t="shared" si="1"/>
        <v>11</v>
      </c>
      <c r="O170" s="4">
        <f t="shared" si="2"/>
        <v>2017</v>
      </c>
    </row>
    <row r="171">
      <c r="A171" s="1">
        <v>170.0</v>
      </c>
      <c r="B171" s="1" t="s">
        <v>121</v>
      </c>
      <c r="C171" s="1">
        <v>40.0</v>
      </c>
      <c r="D171" s="1" t="s">
        <v>23</v>
      </c>
      <c r="E171" s="1" t="s">
        <v>36</v>
      </c>
      <c r="F171" s="1" t="s">
        <v>49</v>
      </c>
      <c r="G171" s="1">
        <v>8.0</v>
      </c>
      <c r="H171" s="1">
        <v>84113.0</v>
      </c>
      <c r="I171" s="1" t="s">
        <v>19</v>
      </c>
      <c r="J171" s="1" t="s">
        <v>34</v>
      </c>
      <c r="K171" s="1" t="s">
        <v>26</v>
      </c>
      <c r="L171" s="1">
        <v>1.0</v>
      </c>
      <c r="M171" s="3">
        <v>43417.0</v>
      </c>
      <c r="N171" s="4">
        <f t="shared" si="1"/>
        <v>11</v>
      </c>
      <c r="O171" s="4">
        <f t="shared" si="2"/>
        <v>2018</v>
      </c>
    </row>
    <row r="172">
      <c r="A172" s="1">
        <v>171.0</v>
      </c>
      <c r="B172" s="1" t="s">
        <v>85</v>
      </c>
      <c r="C172" s="1">
        <v>22.0</v>
      </c>
      <c r="D172" s="1" t="s">
        <v>23</v>
      </c>
      <c r="E172" s="1" t="s">
        <v>39</v>
      </c>
      <c r="F172" s="1" t="s">
        <v>18</v>
      </c>
      <c r="G172" s="1">
        <v>12.0</v>
      </c>
      <c r="H172" s="1">
        <v>38543.0</v>
      </c>
      <c r="I172" s="1" t="s">
        <v>38</v>
      </c>
      <c r="J172" s="1" t="s">
        <v>20</v>
      </c>
      <c r="K172" s="1" t="s">
        <v>26</v>
      </c>
      <c r="L172" s="1">
        <v>3.0</v>
      </c>
      <c r="M172" s="3">
        <v>41815.0</v>
      </c>
      <c r="N172" s="4">
        <f t="shared" si="1"/>
        <v>6</v>
      </c>
      <c r="O172" s="4">
        <f t="shared" si="2"/>
        <v>2014</v>
      </c>
    </row>
    <row r="173">
      <c r="A173" s="1">
        <v>172.0</v>
      </c>
      <c r="B173" s="1" t="s">
        <v>66</v>
      </c>
      <c r="C173" s="1">
        <v>41.0</v>
      </c>
      <c r="D173" s="1" t="s">
        <v>23</v>
      </c>
      <c r="E173" s="1" t="s">
        <v>42</v>
      </c>
      <c r="F173" s="1" t="s">
        <v>32</v>
      </c>
      <c r="G173" s="1">
        <v>3.0</v>
      </c>
      <c r="H173" s="1">
        <v>69672.0</v>
      </c>
      <c r="I173" s="1" t="s">
        <v>51</v>
      </c>
      <c r="J173" s="1" t="s">
        <v>20</v>
      </c>
      <c r="K173" s="1" t="s">
        <v>21</v>
      </c>
      <c r="L173" s="1">
        <v>4.0</v>
      </c>
      <c r="M173" s="3">
        <v>45216.0</v>
      </c>
      <c r="N173" s="4">
        <f t="shared" si="1"/>
        <v>10</v>
      </c>
      <c r="O173" s="4">
        <f t="shared" si="2"/>
        <v>2023</v>
      </c>
    </row>
    <row r="174">
      <c r="A174" s="1">
        <v>173.0</v>
      </c>
      <c r="B174" s="1" t="s">
        <v>73</v>
      </c>
      <c r="C174" s="1">
        <v>60.0</v>
      </c>
      <c r="D174" s="1" t="s">
        <v>23</v>
      </c>
      <c r="E174" s="1" t="s">
        <v>17</v>
      </c>
      <c r="F174" s="1" t="s">
        <v>37</v>
      </c>
      <c r="G174" s="1">
        <v>7.0</v>
      </c>
      <c r="H174" s="1">
        <v>46642.0</v>
      </c>
      <c r="I174" s="1" t="s">
        <v>25</v>
      </c>
      <c r="J174" s="1" t="s">
        <v>34</v>
      </c>
      <c r="K174" s="1" t="s">
        <v>26</v>
      </c>
      <c r="L174" s="1">
        <v>2.0</v>
      </c>
      <c r="M174" s="3">
        <v>43734.0</v>
      </c>
      <c r="N174" s="4">
        <f t="shared" si="1"/>
        <v>9</v>
      </c>
      <c r="O174" s="4">
        <f t="shared" si="2"/>
        <v>2019</v>
      </c>
    </row>
    <row r="175">
      <c r="A175" s="1">
        <v>174.0</v>
      </c>
      <c r="B175" s="1" t="s">
        <v>117</v>
      </c>
      <c r="C175" s="1">
        <v>37.0</v>
      </c>
      <c r="D175" s="1" t="s">
        <v>16</v>
      </c>
      <c r="E175" s="1" t="s">
        <v>28</v>
      </c>
      <c r="F175" s="1" t="s">
        <v>32</v>
      </c>
      <c r="G175" s="1">
        <v>7.0</v>
      </c>
      <c r="H175" s="1">
        <v>52948.0</v>
      </c>
      <c r="I175" s="1" t="s">
        <v>43</v>
      </c>
      <c r="J175" s="1" t="s">
        <v>20</v>
      </c>
      <c r="K175" s="1" t="s">
        <v>21</v>
      </c>
      <c r="L175" s="1">
        <v>2.0</v>
      </c>
      <c r="M175" s="3">
        <v>43795.0</v>
      </c>
      <c r="N175" s="4">
        <f t="shared" si="1"/>
        <v>11</v>
      </c>
      <c r="O175" s="4">
        <f t="shared" si="2"/>
        <v>2019</v>
      </c>
    </row>
    <row r="176">
      <c r="A176" s="1">
        <v>175.0</v>
      </c>
      <c r="B176" s="1" t="s">
        <v>122</v>
      </c>
      <c r="C176" s="1">
        <v>39.0</v>
      </c>
      <c r="D176" s="1" t="s">
        <v>23</v>
      </c>
      <c r="E176" s="1" t="s">
        <v>31</v>
      </c>
      <c r="F176" s="1" t="s">
        <v>32</v>
      </c>
      <c r="G176" s="1">
        <v>0.0</v>
      </c>
      <c r="H176" s="1">
        <v>109324.0</v>
      </c>
      <c r="I176" s="1" t="s">
        <v>43</v>
      </c>
      <c r="J176" s="1" t="s">
        <v>34</v>
      </c>
      <c r="K176" s="1" t="s">
        <v>26</v>
      </c>
      <c r="L176" s="1">
        <v>1.0</v>
      </c>
      <c r="M176" s="3">
        <v>46129.0</v>
      </c>
      <c r="N176" s="4">
        <f t="shared" si="1"/>
        <v>4</v>
      </c>
      <c r="O176" s="4">
        <f t="shared" si="2"/>
        <v>2026</v>
      </c>
    </row>
    <row r="177">
      <c r="A177" s="1">
        <v>176.0</v>
      </c>
      <c r="B177" s="1" t="s">
        <v>82</v>
      </c>
      <c r="C177" s="1">
        <v>27.0</v>
      </c>
      <c r="D177" s="1" t="s">
        <v>23</v>
      </c>
      <c r="E177" s="1" t="s">
        <v>39</v>
      </c>
      <c r="F177" s="1" t="s">
        <v>32</v>
      </c>
      <c r="G177" s="1">
        <v>1.0</v>
      </c>
      <c r="H177" s="1">
        <v>80832.0</v>
      </c>
      <c r="I177" s="1" t="s">
        <v>43</v>
      </c>
      <c r="J177" s="1" t="s">
        <v>34</v>
      </c>
      <c r="K177" s="1" t="s">
        <v>26</v>
      </c>
      <c r="L177" s="1">
        <v>1.0</v>
      </c>
      <c r="M177" s="3">
        <v>45931.0</v>
      </c>
      <c r="N177" s="4">
        <f t="shared" si="1"/>
        <v>10</v>
      </c>
      <c r="O177" s="4">
        <f t="shared" si="2"/>
        <v>2025</v>
      </c>
    </row>
    <row r="178">
      <c r="A178" s="1">
        <v>177.0</v>
      </c>
      <c r="B178" s="1" t="s">
        <v>123</v>
      </c>
      <c r="C178" s="1">
        <v>47.0</v>
      </c>
      <c r="D178" s="1" t="s">
        <v>16</v>
      </c>
      <c r="E178" s="1" t="s">
        <v>42</v>
      </c>
      <c r="F178" s="1" t="s">
        <v>49</v>
      </c>
      <c r="G178" s="1">
        <v>10.0</v>
      </c>
      <c r="H178" s="1">
        <v>28922.0</v>
      </c>
      <c r="I178" s="1" t="s">
        <v>43</v>
      </c>
      <c r="J178" s="1" t="s">
        <v>20</v>
      </c>
      <c r="K178" s="1" t="s">
        <v>21</v>
      </c>
      <c r="L178" s="1">
        <v>1.0</v>
      </c>
      <c r="M178" s="3">
        <v>42497.0</v>
      </c>
      <c r="N178" s="4">
        <f t="shared" si="1"/>
        <v>5</v>
      </c>
      <c r="O178" s="4">
        <f t="shared" si="2"/>
        <v>2016</v>
      </c>
    </row>
    <row r="179">
      <c r="A179" s="1">
        <v>178.0</v>
      </c>
      <c r="B179" s="1" t="s">
        <v>124</v>
      </c>
      <c r="C179" s="1">
        <v>35.0</v>
      </c>
      <c r="D179" s="1" t="s">
        <v>16</v>
      </c>
      <c r="E179" s="1" t="s">
        <v>28</v>
      </c>
      <c r="F179" s="1" t="s">
        <v>49</v>
      </c>
      <c r="G179" s="1">
        <v>11.0</v>
      </c>
      <c r="H179" s="1">
        <v>53477.0</v>
      </c>
      <c r="I179" s="1" t="s">
        <v>19</v>
      </c>
      <c r="J179" s="1" t="s">
        <v>34</v>
      </c>
      <c r="K179" s="1" t="s">
        <v>26</v>
      </c>
      <c r="L179" s="1">
        <v>1.0</v>
      </c>
      <c r="M179" s="3">
        <v>42328.0</v>
      </c>
      <c r="N179" s="4">
        <f t="shared" si="1"/>
        <v>11</v>
      </c>
      <c r="O179" s="4">
        <f t="shared" si="2"/>
        <v>2015</v>
      </c>
    </row>
    <row r="180">
      <c r="A180" s="1">
        <v>179.0</v>
      </c>
      <c r="B180" s="1" t="s">
        <v>125</v>
      </c>
      <c r="C180" s="1">
        <v>22.0</v>
      </c>
      <c r="D180" s="1" t="s">
        <v>16</v>
      </c>
      <c r="E180" s="1" t="s">
        <v>17</v>
      </c>
      <c r="F180" s="1" t="s">
        <v>24</v>
      </c>
      <c r="G180" s="1">
        <v>15.0</v>
      </c>
      <c r="H180" s="1">
        <v>89952.0</v>
      </c>
      <c r="I180" s="1" t="s">
        <v>38</v>
      </c>
      <c r="J180" s="1" t="s">
        <v>29</v>
      </c>
      <c r="K180" s="1" t="s">
        <v>21</v>
      </c>
      <c r="L180" s="1">
        <v>1.0</v>
      </c>
      <c r="M180" s="3">
        <v>40691.0</v>
      </c>
      <c r="N180" s="4">
        <f t="shared" si="1"/>
        <v>5</v>
      </c>
      <c r="O180" s="4">
        <f t="shared" si="2"/>
        <v>2011</v>
      </c>
    </row>
    <row r="181">
      <c r="A181" s="1">
        <v>180.0</v>
      </c>
      <c r="B181" s="1" t="s">
        <v>126</v>
      </c>
      <c r="C181" s="1">
        <v>22.0</v>
      </c>
      <c r="D181" s="1" t="s">
        <v>23</v>
      </c>
      <c r="E181" s="1" t="s">
        <v>17</v>
      </c>
      <c r="F181" s="1" t="s">
        <v>37</v>
      </c>
      <c r="G181" s="1">
        <v>9.0</v>
      </c>
      <c r="H181" s="1">
        <v>76554.0</v>
      </c>
      <c r="I181" s="1" t="s">
        <v>51</v>
      </c>
      <c r="J181" s="1" t="s">
        <v>20</v>
      </c>
      <c r="K181" s="1" t="s">
        <v>26</v>
      </c>
      <c r="L181" s="1">
        <v>4.0</v>
      </c>
      <c r="M181" s="3">
        <v>42965.0</v>
      </c>
      <c r="N181" s="4">
        <f t="shared" si="1"/>
        <v>8</v>
      </c>
      <c r="O181" s="4">
        <f t="shared" si="2"/>
        <v>2017</v>
      </c>
    </row>
    <row r="182">
      <c r="A182" s="1">
        <v>181.0</v>
      </c>
      <c r="B182" s="1" t="s">
        <v>22</v>
      </c>
      <c r="C182" s="1">
        <v>44.0</v>
      </c>
      <c r="D182" s="1" t="s">
        <v>23</v>
      </c>
      <c r="E182" s="1" t="s">
        <v>31</v>
      </c>
      <c r="F182" s="1" t="s">
        <v>24</v>
      </c>
      <c r="G182" s="1">
        <v>7.0</v>
      </c>
      <c r="H182" s="1">
        <v>32328.0</v>
      </c>
      <c r="I182" s="1" t="s">
        <v>51</v>
      </c>
      <c r="J182" s="1" t="s">
        <v>34</v>
      </c>
      <c r="K182" s="1" t="s">
        <v>26</v>
      </c>
      <c r="L182" s="1">
        <v>5.0</v>
      </c>
      <c r="M182" s="3">
        <v>43657.0</v>
      </c>
      <c r="N182" s="4">
        <f t="shared" si="1"/>
        <v>7</v>
      </c>
      <c r="O182" s="4">
        <f t="shared" si="2"/>
        <v>2019</v>
      </c>
    </row>
    <row r="183">
      <c r="A183" s="1">
        <v>182.0</v>
      </c>
      <c r="B183" s="1" t="s">
        <v>58</v>
      </c>
      <c r="C183" s="1">
        <v>55.0</v>
      </c>
      <c r="D183" s="1" t="s">
        <v>16</v>
      </c>
      <c r="E183" s="1" t="s">
        <v>28</v>
      </c>
      <c r="F183" s="1" t="s">
        <v>24</v>
      </c>
      <c r="G183" s="1">
        <v>6.0</v>
      </c>
      <c r="H183" s="1">
        <v>27199.0</v>
      </c>
      <c r="I183" s="1" t="s">
        <v>51</v>
      </c>
      <c r="J183" s="1" t="s">
        <v>34</v>
      </c>
      <c r="K183" s="1" t="s">
        <v>26</v>
      </c>
      <c r="L183" s="1">
        <v>5.0</v>
      </c>
      <c r="M183" s="3">
        <v>44128.0</v>
      </c>
      <c r="N183" s="4">
        <f t="shared" si="1"/>
        <v>10</v>
      </c>
      <c r="O183" s="4">
        <f t="shared" si="2"/>
        <v>2020</v>
      </c>
    </row>
    <row r="184">
      <c r="A184" s="1">
        <v>183.0</v>
      </c>
      <c r="B184" s="1" t="s">
        <v>127</v>
      </c>
      <c r="C184" s="1">
        <v>27.0</v>
      </c>
      <c r="D184" s="1" t="s">
        <v>16</v>
      </c>
      <c r="E184" s="1" t="s">
        <v>39</v>
      </c>
      <c r="F184" s="1" t="s">
        <v>37</v>
      </c>
      <c r="G184" s="1">
        <v>5.0</v>
      </c>
      <c r="H184" s="1">
        <v>105615.0</v>
      </c>
      <c r="I184" s="1" t="s">
        <v>38</v>
      </c>
      <c r="J184" s="1" t="s">
        <v>29</v>
      </c>
      <c r="K184" s="1" t="s">
        <v>21</v>
      </c>
      <c r="L184" s="1">
        <v>1.0</v>
      </c>
      <c r="M184" s="3">
        <v>44404.0</v>
      </c>
      <c r="N184" s="4">
        <f t="shared" si="1"/>
        <v>7</v>
      </c>
      <c r="O184" s="4">
        <f t="shared" si="2"/>
        <v>2021</v>
      </c>
    </row>
    <row r="185">
      <c r="A185" s="1">
        <v>184.0</v>
      </c>
      <c r="B185" s="1" t="s">
        <v>84</v>
      </c>
      <c r="C185" s="1">
        <v>34.0</v>
      </c>
      <c r="D185" s="1" t="s">
        <v>16</v>
      </c>
      <c r="E185" s="1" t="s">
        <v>17</v>
      </c>
      <c r="F185" s="1" t="s">
        <v>49</v>
      </c>
      <c r="G185" s="1">
        <v>6.0</v>
      </c>
      <c r="H185" s="1">
        <v>32469.0</v>
      </c>
      <c r="I185" s="1" t="s">
        <v>38</v>
      </c>
      <c r="J185" s="1" t="s">
        <v>34</v>
      </c>
      <c r="K185" s="1" t="s">
        <v>26</v>
      </c>
      <c r="L185" s="1">
        <v>3.0</v>
      </c>
      <c r="M185" s="3">
        <v>44141.0</v>
      </c>
      <c r="N185" s="4">
        <f t="shared" si="1"/>
        <v>11</v>
      </c>
      <c r="O185" s="4">
        <f t="shared" si="2"/>
        <v>2020</v>
      </c>
    </row>
    <row r="186">
      <c r="A186" s="1">
        <v>185.0</v>
      </c>
      <c r="B186" s="1" t="s">
        <v>95</v>
      </c>
      <c r="C186" s="1">
        <v>50.0</v>
      </c>
      <c r="D186" s="1" t="s">
        <v>16</v>
      </c>
      <c r="E186" s="1" t="s">
        <v>36</v>
      </c>
      <c r="F186" s="1" t="s">
        <v>49</v>
      </c>
      <c r="G186" s="1">
        <v>7.0</v>
      </c>
      <c r="H186" s="1">
        <v>73317.0</v>
      </c>
      <c r="I186" s="1" t="s">
        <v>33</v>
      </c>
      <c r="J186" s="1" t="s">
        <v>20</v>
      </c>
      <c r="K186" s="1" t="s">
        <v>26</v>
      </c>
      <c r="L186" s="1">
        <v>4.0</v>
      </c>
      <c r="M186" s="3">
        <v>43728.0</v>
      </c>
      <c r="N186" s="4">
        <f t="shared" si="1"/>
        <v>9</v>
      </c>
      <c r="O186" s="4">
        <f t="shared" si="2"/>
        <v>2019</v>
      </c>
    </row>
    <row r="187">
      <c r="A187" s="1">
        <v>186.0</v>
      </c>
      <c r="B187" s="1" t="s">
        <v>128</v>
      </c>
      <c r="C187" s="1">
        <v>56.0</v>
      </c>
      <c r="D187" s="1" t="s">
        <v>23</v>
      </c>
      <c r="E187" s="1" t="s">
        <v>31</v>
      </c>
      <c r="F187" s="1" t="s">
        <v>49</v>
      </c>
      <c r="G187" s="1">
        <v>13.0</v>
      </c>
      <c r="H187" s="1">
        <v>59995.0</v>
      </c>
      <c r="I187" s="1" t="s">
        <v>43</v>
      </c>
      <c r="J187" s="1" t="s">
        <v>29</v>
      </c>
      <c r="K187" s="1" t="s">
        <v>26</v>
      </c>
      <c r="L187" s="1">
        <v>4.0</v>
      </c>
      <c r="M187" s="3">
        <v>41464.0</v>
      </c>
      <c r="N187" s="4">
        <f t="shared" si="1"/>
        <v>7</v>
      </c>
      <c r="O187" s="4">
        <f t="shared" si="2"/>
        <v>2013</v>
      </c>
    </row>
    <row r="188">
      <c r="A188" s="1">
        <v>187.0</v>
      </c>
      <c r="B188" s="1" t="s">
        <v>65</v>
      </c>
      <c r="C188" s="1">
        <v>29.0</v>
      </c>
      <c r="D188" s="1" t="s">
        <v>16</v>
      </c>
      <c r="E188" s="1" t="s">
        <v>31</v>
      </c>
      <c r="F188" s="1" t="s">
        <v>49</v>
      </c>
      <c r="G188" s="1">
        <v>12.0</v>
      </c>
      <c r="H188" s="1">
        <v>110093.0</v>
      </c>
      <c r="I188" s="1" t="s">
        <v>33</v>
      </c>
      <c r="J188" s="1" t="s">
        <v>29</v>
      </c>
      <c r="K188" s="1" t="s">
        <v>21</v>
      </c>
      <c r="L188" s="1">
        <v>3.0</v>
      </c>
      <c r="M188" s="3">
        <v>41860.0</v>
      </c>
      <c r="N188" s="4">
        <f t="shared" si="1"/>
        <v>8</v>
      </c>
      <c r="O188" s="4">
        <f t="shared" si="2"/>
        <v>2014</v>
      </c>
    </row>
    <row r="189">
      <c r="A189" s="1">
        <v>188.0</v>
      </c>
      <c r="B189" s="1" t="s">
        <v>77</v>
      </c>
      <c r="C189" s="1">
        <v>48.0</v>
      </c>
      <c r="D189" s="1" t="s">
        <v>16</v>
      </c>
      <c r="E189" s="1" t="s">
        <v>17</v>
      </c>
      <c r="F189" s="1" t="s">
        <v>18</v>
      </c>
      <c r="G189" s="1">
        <v>4.0</v>
      </c>
      <c r="H189" s="1">
        <v>72000.0</v>
      </c>
      <c r="I189" s="1" t="s">
        <v>33</v>
      </c>
      <c r="J189" s="1" t="s">
        <v>34</v>
      </c>
      <c r="K189" s="1" t="s">
        <v>21</v>
      </c>
      <c r="L189" s="1">
        <v>3.0</v>
      </c>
      <c r="M189" s="3">
        <v>44840.0</v>
      </c>
      <c r="N189" s="4">
        <f t="shared" si="1"/>
        <v>10</v>
      </c>
      <c r="O189" s="4">
        <f t="shared" si="2"/>
        <v>2022</v>
      </c>
    </row>
    <row r="190">
      <c r="A190" s="1">
        <v>189.0</v>
      </c>
      <c r="B190" s="1" t="s">
        <v>61</v>
      </c>
      <c r="C190" s="1">
        <v>21.0</v>
      </c>
      <c r="D190" s="1" t="s">
        <v>16</v>
      </c>
      <c r="E190" s="1" t="s">
        <v>31</v>
      </c>
      <c r="F190" s="1" t="s">
        <v>49</v>
      </c>
      <c r="G190" s="1">
        <v>3.0</v>
      </c>
      <c r="H190" s="1">
        <v>28211.0</v>
      </c>
      <c r="I190" s="1" t="s">
        <v>51</v>
      </c>
      <c r="J190" s="1" t="s">
        <v>20</v>
      </c>
      <c r="K190" s="1" t="s">
        <v>21</v>
      </c>
      <c r="L190" s="1">
        <v>4.0</v>
      </c>
      <c r="M190" s="3">
        <v>45209.0</v>
      </c>
      <c r="N190" s="4">
        <f t="shared" si="1"/>
        <v>10</v>
      </c>
      <c r="O190" s="4">
        <f t="shared" si="2"/>
        <v>2023</v>
      </c>
    </row>
    <row r="191">
      <c r="A191" s="1">
        <v>190.0</v>
      </c>
      <c r="B191" s="1" t="s">
        <v>65</v>
      </c>
      <c r="C191" s="1">
        <v>31.0</v>
      </c>
      <c r="D191" s="1" t="s">
        <v>23</v>
      </c>
      <c r="E191" s="1" t="s">
        <v>31</v>
      </c>
      <c r="F191" s="1" t="s">
        <v>32</v>
      </c>
      <c r="G191" s="1">
        <v>12.0</v>
      </c>
      <c r="H191" s="1">
        <v>36468.0</v>
      </c>
      <c r="I191" s="1" t="s">
        <v>38</v>
      </c>
      <c r="J191" s="1" t="s">
        <v>29</v>
      </c>
      <c r="K191" s="1" t="s">
        <v>21</v>
      </c>
      <c r="L191" s="1">
        <v>4.0</v>
      </c>
      <c r="M191" s="3">
        <v>41932.0</v>
      </c>
      <c r="N191" s="4">
        <f t="shared" si="1"/>
        <v>10</v>
      </c>
      <c r="O191" s="4">
        <f t="shared" si="2"/>
        <v>2014</v>
      </c>
    </row>
    <row r="192">
      <c r="A192" s="1">
        <v>191.0</v>
      </c>
      <c r="B192" s="1" t="s">
        <v>114</v>
      </c>
      <c r="C192" s="1">
        <v>26.0</v>
      </c>
      <c r="D192" s="1" t="s">
        <v>16</v>
      </c>
      <c r="E192" s="1" t="s">
        <v>36</v>
      </c>
      <c r="F192" s="1" t="s">
        <v>32</v>
      </c>
      <c r="G192" s="1">
        <v>11.0</v>
      </c>
      <c r="H192" s="1">
        <v>115545.0</v>
      </c>
      <c r="I192" s="1" t="s">
        <v>25</v>
      </c>
      <c r="J192" s="1" t="s">
        <v>29</v>
      </c>
      <c r="K192" s="1" t="s">
        <v>26</v>
      </c>
      <c r="L192" s="1">
        <v>2.0</v>
      </c>
      <c r="M192" s="3">
        <v>42128.0</v>
      </c>
      <c r="N192" s="4">
        <f t="shared" si="1"/>
        <v>5</v>
      </c>
      <c r="O192" s="4">
        <f t="shared" si="2"/>
        <v>2015</v>
      </c>
    </row>
    <row r="193">
      <c r="A193" s="1">
        <v>192.0</v>
      </c>
      <c r="B193" s="1" t="s">
        <v>97</v>
      </c>
      <c r="C193" s="1">
        <v>51.0</v>
      </c>
      <c r="D193" s="1" t="s">
        <v>16</v>
      </c>
      <c r="E193" s="1" t="s">
        <v>42</v>
      </c>
      <c r="F193" s="1" t="s">
        <v>32</v>
      </c>
      <c r="G193" s="1">
        <v>9.0</v>
      </c>
      <c r="H193" s="1">
        <v>63322.0</v>
      </c>
      <c r="I193" s="1" t="s">
        <v>33</v>
      </c>
      <c r="J193" s="1" t="s">
        <v>29</v>
      </c>
      <c r="K193" s="1" t="s">
        <v>21</v>
      </c>
      <c r="L193" s="1">
        <v>5.0</v>
      </c>
      <c r="M193" s="3">
        <v>42896.0</v>
      </c>
      <c r="N193" s="4">
        <f t="shared" si="1"/>
        <v>6</v>
      </c>
      <c r="O193" s="4">
        <f t="shared" si="2"/>
        <v>2017</v>
      </c>
    </row>
    <row r="194">
      <c r="A194" s="1">
        <v>193.0</v>
      </c>
      <c r="B194" s="1" t="s">
        <v>60</v>
      </c>
      <c r="C194" s="1">
        <v>39.0</v>
      </c>
      <c r="D194" s="1" t="s">
        <v>23</v>
      </c>
      <c r="E194" s="1" t="s">
        <v>28</v>
      </c>
      <c r="F194" s="1" t="s">
        <v>49</v>
      </c>
      <c r="G194" s="1">
        <v>3.0</v>
      </c>
      <c r="H194" s="1">
        <v>82333.0</v>
      </c>
      <c r="I194" s="1" t="s">
        <v>51</v>
      </c>
      <c r="J194" s="1" t="s">
        <v>29</v>
      </c>
      <c r="K194" s="1" t="s">
        <v>26</v>
      </c>
      <c r="L194" s="1">
        <v>4.0</v>
      </c>
      <c r="M194" s="3">
        <v>45084.0</v>
      </c>
      <c r="N194" s="4">
        <f t="shared" si="1"/>
        <v>6</v>
      </c>
      <c r="O194" s="4">
        <f t="shared" si="2"/>
        <v>2023</v>
      </c>
    </row>
    <row r="195">
      <c r="A195" s="1">
        <v>194.0</v>
      </c>
      <c r="B195" s="1" t="s">
        <v>54</v>
      </c>
      <c r="C195" s="1">
        <v>53.0</v>
      </c>
      <c r="D195" s="1" t="s">
        <v>23</v>
      </c>
      <c r="E195" s="1" t="s">
        <v>31</v>
      </c>
      <c r="F195" s="1" t="s">
        <v>18</v>
      </c>
      <c r="G195" s="1">
        <v>13.0</v>
      </c>
      <c r="H195" s="1">
        <v>97447.0</v>
      </c>
      <c r="I195" s="1" t="s">
        <v>51</v>
      </c>
      <c r="J195" s="1" t="s">
        <v>34</v>
      </c>
      <c r="K195" s="1" t="s">
        <v>26</v>
      </c>
      <c r="L195" s="1">
        <v>4.0</v>
      </c>
      <c r="M195" s="3">
        <v>41355.0</v>
      </c>
      <c r="N195" s="4">
        <f t="shared" si="1"/>
        <v>3</v>
      </c>
      <c r="O195" s="4">
        <f t="shared" si="2"/>
        <v>2013</v>
      </c>
    </row>
    <row r="196">
      <c r="A196" s="1">
        <v>195.0</v>
      </c>
      <c r="B196" s="1" t="s">
        <v>129</v>
      </c>
      <c r="C196" s="1">
        <v>22.0</v>
      </c>
      <c r="D196" s="1" t="s">
        <v>16</v>
      </c>
      <c r="E196" s="1" t="s">
        <v>31</v>
      </c>
      <c r="F196" s="1" t="s">
        <v>49</v>
      </c>
      <c r="G196" s="1">
        <v>2.0</v>
      </c>
      <c r="H196" s="1">
        <v>114974.0</v>
      </c>
      <c r="I196" s="1" t="s">
        <v>19</v>
      </c>
      <c r="J196" s="1" t="s">
        <v>20</v>
      </c>
      <c r="K196" s="1" t="s">
        <v>26</v>
      </c>
      <c r="L196" s="1">
        <v>1.0</v>
      </c>
      <c r="M196" s="3">
        <v>45578.0</v>
      </c>
      <c r="N196" s="4">
        <f t="shared" si="1"/>
        <v>10</v>
      </c>
      <c r="O196" s="4">
        <f t="shared" si="2"/>
        <v>2024</v>
      </c>
    </row>
    <row r="197">
      <c r="A197" s="1">
        <v>196.0</v>
      </c>
      <c r="B197" s="1" t="s">
        <v>119</v>
      </c>
      <c r="C197" s="1">
        <v>37.0</v>
      </c>
      <c r="D197" s="1" t="s">
        <v>16</v>
      </c>
      <c r="E197" s="1" t="s">
        <v>42</v>
      </c>
      <c r="F197" s="1" t="s">
        <v>37</v>
      </c>
      <c r="G197" s="1">
        <v>8.0</v>
      </c>
      <c r="H197" s="1">
        <v>61674.0</v>
      </c>
      <c r="I197" s="1" t="s">
        <v>51</v>
      </c>
      <c r="J197" s="1" t="s">
        <v>34</v>
      </c>
      <c r="K197" s="1" t="s">
        <v>21</v>
      </c>
      <c r="L197" s="1">
        <v>5.0</v>
      </c>
      <c r="M197" s="3">
        <v>43323.0</v>
      </c>
      <c r="N197" s="4">
        <f t="shared" si="1"/>
        <v>8</v>
      </c>
      <c r="O197" s="4">
        <f t="shared" si="2"/>
        <v>2018</v>
      </c>
    </row>
    <row r="198">
      <c r="A198" s="1">
        <v>197.0</v>
      </c>
      <c r="B198" s="1" t="s">
        <v>46</v>
      </c>
      <c r="C198" s="1">
        <v>23.0</v>
      </c>
      <c r="D198" s="1" t="s">
        <v>23</v>
      </c>
      <c r="E198" s="1" t="s">
        <v>17</v>
      </c>
      <c r="F198" s="1" t="s">
        <v>32</v>
      </c>
      <c r="G198" s="1">
        <v>4.0</v>
      </c>
      <c r="H198" s="1">
        <v>39919.0</v>
      </c>
      <c r="I198" s="1" t="s">
        <v>19</v>
      </c>
      <c r="J198" s="1" t="s">
        <v>29</v>
      </c>
      <c r="K198" s="1" t="s">
        <v>21</v>
      </c>
      <c r="L198" s="1">
        <v>1.0</v>
      </c>
      <c r="M198" s="3">
        <v>44838.0</v>
      </c>
      <c r="N198" s="4">
        <f t="shared" si="1"/>
        <v>10</v>
      </c>
      <c r="O198" s="4">
        <f t="shared" si="2"/>
        <v>2022</v>
      </c>
    </row>
    <row r="199">
      <c r="A199" s="1">
        <v>198.0</v>
      </c>
      <c r="B199" s="1" t="s">
        <v>91</v>
      </c>
      <c r="C199" s="1">
        <v>57.0</v>
      </c>
      <c r="D199" s="1" t="s">
        <v>23</v>
      </c>
      <c r="E199" s="1" t="s">
        <v>31</v>
      </c>
      <c r="F199" s="1" t="s">
        <v>37</v>
      </c>
      <c r="G199" s="1">
        <v>7.0</v>
      </c>
      <c r="H199" s="1">
        <v>64127.0</v>
      </c>
      <c r="I199" s="1" t="s">
        <v>43</v>
      </c>
      <c r="J199" s="1" t="s">
        <v>29</v>
      </c>
      <c r="K199" s="1" t="s">
        <v>21</v>
      </c>
      <c r="L199" s="1">
        <v>1.0</v>
      </c>
      <c r="M199" s="3">
        <v>43732.0</v>
      </c>
      <c r="N199" s="4">
        <f t="shared" si="1"/>
        <v>9</v>
      </c>
      <c r="O199" s="4">
        <f t="shared" si="2"/>
        <v>2019</v>
      </c>
    </row>
    <row r="200">
      <c r="A200" s="1">
        <v>199.0</v>
      </c>
      <c r="B200" s="1" t="s">
        <v>116</v>
      </c>
      <c r="C200" s="1">
        <v>46.0</v>
      </c>
      <c r="D200" s="1" t="s">
        <v>16</v>
      </c>
      <c r="E200" s="1" t="s">
        <v>17</v>
      </c>
      <c r="F200" s="1" t="s">
        <v>37</v>
      </c>
      <c r="G200" s="1">
        <v>13.0</v>
      </c>
      <c r="H200" s="1">
        <v>114682.0</v>
      </c>
      <c r="I200" s="1" t="s">
        <v>19</v>
      </c>
      <c r="J200" s="1" t="s">
        <v>29</v>
      </c>
      <c r="K200" s="1" t="s">
        <v>26</v>
      </c>
      <c r="L200" s="1">
        <v>3.0</v>
      </c>
      <c r="M200" s="3">
        <v>41557.0</v>
      </c>
      <c r="N200" s="4">
        <f t="shared" si="1"/>
        <v>10</v>
      </c>
      <c r="O200" s="4">
        <f t="shared" si="2"/>
        <v>2013</v>
      </c>
    </row>
    <row r="201">
      <c r="A201" s="1">
        <v>200.0</v>
      </c>
      <c r="B201" s="1" t="s">
        <v>106</v>
      </c>
      <c r="C201" s="1">
        <v>51.0</v>
      </c>
      <c r="D201" s="1" t="s">
        <v>23</v>
      </c>
      <c r="E201" s="1" t="s">
        <v>28</v>
      </c>
      <c r="F201" s="1" t="s">
        <v>37</v>
      </c>
      <c r="G201" s="1">
        <v>6.0</v>
      </c>
      <c r="H201" s="1">
        <v>21985.0</v>
      </c>
      <c r="I201" s="1" t="s">
        <v>19</v>
      </c>
      <c r="J201" s="1" t="s">
        <v>20</v>
      </c>
      <c r="K201" s="1" t="s">
        <v>26</v>
      </c>
      <c r="L201" s="1">
        <v>4.0</v>
      </c>
      <c r="M201" s="3">
        <v>44059.0</v>
      </c>
      <c r="N201" s="4">
        <f t="shared" si="1"/>
        <v>8</v>
      </c>
      <c r="O201" s="4">
        <f t="shared" si="2"/>
        <v>2020</v>
      </c>
    </row>
    <row r="202">
      <c r="A202" s="1">
        <v>201.0</v>
      </c>
      <c r="B202" s="1" t="s">
        <v>106</v>
      </c>
      <c r="C202" s="1">
        <v>47.0</v>
      </c>
      <c r="D202" s="1" t="s">
        <v>23</v>
      </c>
      <c r="E202" s="1" t="s">
        <v>17</v>
      </c>
      <c r="F202" s="1" t="s">
        <v>49</v>
      </c>
      <c r="G202" s="1">
        <v>11.0</v>
      </c>
      <c r="H202" s="1">
        <v>89516.0</v>
      </c>
      <c r="I202" s="1" t="s">
        <v>38</v>
      </c>
      <c r="J202" s="1" t="s">
        <v>34</v>
      </c>
      <c r="K202" s="1" t="s">
        <v>26</v>
      </c>
      <c r="L202" s="1">
        <v>2.0</v>
      </c>
      <c r="M202" s="3">
        <v>42279.0</v>
      </c>
      <c r="N202" s="4">
        <f t="shared" si="1"/>
        <v>10</v>
      </c>
      <c r="O202" s="4">
        <f t="shared" si="2"/>
        <v>2015</v>
      </c>
    </row>
    <row r="203">
      <c r="A203" s="1">
        <v>202.0</v>
      </c>
      <c r="B203" s="1" t="s">
        <v>70</v>
      </c>
      <c r="C203" s="1">
        <v>57.0</v>
      </c>
      <c r="D203" s="1" t="s">
        <v>16</v>
      </c>
      <c r="E203" s="1" t="s">
        <v>39</v>
      </c>
      <c r="F203" s="1" t="s">
        <v>32</v>
      </c>
      <c r="G203" s="1">
        <v>5.0</v>
      </c>
      <c r="H203" s="1">
        <v>60249.0</v>
      </c>
      <c r="I203" s="1" t="s">
        <v>51</v>
      </c>
      <c r="J203" s="1" t="s">
        <v>34</v>
      </c>
      <c r="K203" s="1" t="s">
        <v>26</v>
      </c>
      <c r="L203" s="1">
        <v>2.0</v>
      </c>
      <c r="M203" s="3">
        <v>44488.0</v>
      </c>
      <c r="N203" s="4">
        <f t="shared" si="1"/>
        <v>10</v>
      </c>
      <c r="O203" s="4">
        <f t="shared" si="2"/>
        <v>2021</v>
      </c>
    </row>
    <row r="204">
      <c r="A204" s="1">
        <v>203.0</v>
      </c>
      <c r="B204" s="1" t="s">
        <v>86</v>
      </c>
      <c r="C204" s="1">
        <v>46.0</v>
      </c>
      <c r="D204" s="1" t="s">
        <v>16</v>
      </c>
      <c r="E204" s="1" t="s">
        <v>17</v>
      </c>
      <c r="F204" s="1" t="s">
        <v>18</v>
      </c>
      <c r="G204" s="1">
        <v>3.0</v>
      </c>
      <c r="H204" s="1">
        <v>20445.0</v>
      </c>
      <c r="I204" s="1" t="s">
        <v>19</v>
      </c>
      <c r="J204" s="1" t="s">
        <v>20</v>
      </c>
      <c r="K204" s="1" t="s">
        <v>26</v>
      </c>
      <c r="L204" s="1">
        <v>1.0</v>
      </c>
      <c r="M204" s="3">
        <v>45181.0</v>
      </c>
      <c r="N204" s="4">
        <f t="shared" si="1"/>
        <v>9</v>
      </c>
      <c r="O204" s="4">
        <f t="shared" si="2"/>
        <v>2023</v>
      </c>
    </row>
    <row r="205">
      <c r="A205" s="1">
        <v>204.0</v>
      </c>
      <c r="B205" s="1" t="s">
        <v>96</v>
      </c>
      <c r="C205" s="1">
        <v>55.0</v>
      </c>
      <c r="D205" s="1" t="s">
        <v>16</v>
      </c>
      <c r="E205" s="1" t="s">
        <v>42</v>
      </c>
      <c r="F205" s="1" t="s">
        <v>24</v>
      </c>
      <c r="G205" s="1">
        <v>7.0</v>
      </c>
      <c r="H205" s="1">
        <v>65769.0</v>
      </c>
      <c r="I205" s="1" t="s">
        <v>51</v>
      </c>
      <c r="J205" s="1" t="s">
        <v>34</v>
      </c>
      <c r="K205" s="1" t="s">
        <v>26</v>
      </c>
      <c r="L205" s="1">
        <v>4.0</v>
      </c>
      <c r="M205" s="3">
        <v>43697.0</v>
      </c>
      <c r="N205" s="4">
        <f t="shared" si="1"/>
        <v>8</v>
      </c>
      <c r="O205" s="4">
        <f t="shared" si="2"/>
        <v>2019</v>
      </c>
    </row>
    <row r="206">
      <c r="A206" s="1">
        <v>205.0</v>
      </c>
      <c r="B206" s="1" t="s">
        <v>64</v>
      </c>
      <c r="C206" s="1">
        <v>40.0</v>
      </c>
      <c r="D206" s="1" t="s">
        <v>16</v>
      </c>
      <c r="E206" s="1" t="s">
        <v>42</v>
      </c>
      <c r="F206" s="1" t="s">
        <v>37</v>
      </c>
      <c r="G206" s="1">
        <v>9.0</v>
      </c>
      <c r="H206" s="1">
        <v>115169.0</v>
      </c>
      <c r="I206" s="1" t="s">
        <v>51</v>
      </c>
      <c r="J206" s="1" t="s">
        <v>29</v>
      </c>
      <c r="K206" s="1" t="s">
        <v>26</v>
      </c>
      <c r="L206" s="1">
        <v>3.0</v>
      </c>
      <c r="M206" s="3">
        <v>42972.0</v>
      </c>
      <c r="N206" s="4">
        <f t="shared" si="1"/>
        <v>8</v>
      </c>
      <c r="O206" s="4">
        <f t="shared" si="2"/>
        <v>2017</v>
      </c>
    </row>
    <row r="207">
      <c r="A207" s="1">
        <v>206.0</v>
      </c>
      <c r="B207" s="1" t="s">
        <v>104</v>
      </c>
      <c r="C207" s="1">
        <v>32.0</v>
      </c>
      <c r="D207" s="1" t="s">
        <v>16</v>
      </c>
      <c r="E207" s="1" t="s">
        <v>17</v>
      </c>
      <c r="F207" s="1" t="s">
        <v>49</v>
      </c>
      <c r="G207" s="1">
        <v>15.0</v>
      </c>
      <c r="H207" s="1">
        <v>68454.0</v>
      </c>
      <c r="I207" s="1" t="s">
        <v>33</v>
      </c>
      <c r="J207" s="1" t="s">
        <v>34</v>
      </c>
      <c r="K207" s="1" t="s">
        <v>26</v>
      </c>
      <c r="L207" s="1">
        <v>5.0</v>
      </c>
      <c r="M207" s="3">
        <v>40629.0</v>
      </c>
      <c r="N207" s="4">
        <f t="shared" si="1"/>
        <v>3</v>
      </c>
      <c r="O207" s="4">
        <f t="shared" si="2"/>
        <v>2011</v>
      </c>
    </row>
    <row r="208">
      <c r="A208" s="1">
        <v>207.0</v>
      </c>
      <c r="B208" s="1" t="s">
        <v>114</v>
      </c>
      <c r="C208" s="1">
        <v>48.0</v>
      </c>
      <c r="D208" s="1" t="s">
        <v>16</v>
      </c>
      <c r="E208" s="1" t="s">
        <v>39</v>
      </c>
      <c r="F208" s="1" t="s">
        <v>24</v>
      </c>
      <c r="G208" s="1">
        <v>6.0</v>
      </c>
      <c r="H208" s="1">
        <v>66432.0</v>
      </c>
      <c r="I208" s="1" t="s">
        <v>25</v>
      </c>
      <c r="J208" s="1" t="s">
        <v>34</v>
      </c>
      <c r="K208" s="1" t="s">
        <v>21</v>
      </c>
      <c r="L208" s="1">
        <v>1.0</v>
      </c>
      <c r="M208" s="3">
        <v>44173.0</v>
      </c>
      <c r="N208" s="4">
        <f t="shared" si="1"/>
        <v>12</v>
      </c>
      <c r="O208" s="4">
        <f t="shared" si="2"/>
        <v>2020</v>
      </c>
    </row>
    <row r="209">
      <c r="A209" s="1">
        <v>208.0</v>
      </c>
      <c r="B209" s="1" t="s">
        <v>130</v>
      </c>
      <c r="C209" s="1">
        <v>37.0</v>
      </c>
      <c r="D209" s="1" t="s">
        <v>23</v>
      </c>
      <c r="E209" s="1" t="s">
        <v>42</v>
      </c>
      <c r="F209" s="1" t="s">
        <v>18</v>
      </c>
      <c r="G209" s="1">
        <v>3.0</v>
      </c>
      <c r="H209" s="1">
        <v>113089.0</v>
      </c>
      <c r="I209" s="1" t="s">
        <v>25</v>
      </c>
      <c r="J209" s="1" t="s">
        <v>34</v>
      </c>
      <c r="K209" s="1" t="s">
        <v>21</v>
      </c>
      <c r="L209" s="1">
        <v>5.0</v>
      </c>
      <c r="M209" s="3">
        <v>45041.0</v>
      </c>
      <c r="N209" s="4">
        <f t="shared" si="1"/>
        <v>4</v>
      </c>
      <c r="O209" s="4">
        <f t="shared" si="2"/>
        <v>2023</v>
      </c>
    </row>
    <row r="210">
      <c r="A210" s="1">
        <v>209.0</v>
      </c>
      <c r="B210" s="1" t="s">
        <v>107</v>
      </c>
      <c r="C210" s="1">
        <v>55.0</v>
      </c>
      <c r="D210" s="1" t="s">
        <v>16</v>
      </c>
      <c r="E210" s="1" t="s">
        <v>39</v>
      </c>
      <c r="F210" s="1" t="s">
        <v>32</v>
      </c>
      <c r="G210" s="1">
        <v>3.0</v>
      </c>
      <c r="H210" s="1">
        <v>36451.0</v>
      </c>
      <c r="I210" s="1" t="s">
        <v>25</v>
      </c>
      <c r="J210" s="1" t="s">
        <v>34</v>
      </c>
      <c r="K210" s="1" t="s">
        <v>26</v>
      </c>
      <c r="L210" s="1">
        <v>3.0</v>
      </c>
      <c r="M210" s="3">
        <v>45282.0</v>
      </c>
      <c r="N210" s="4">
        <f t="shared" si="1"/>
        <v>12</v>
      </c>
      <c r="O210" s="4">
        <f t="shared" si="2"/>
        <v>2023</v>
      </c>
    </row>
    <row r="211">
      <c r="A211" s="1">
        <v>210.0</v>
      </c>
      <c r="B211" s="1" t="s">
        <v>73</v>
      </c>
      <c r="C211" s="1">
        <v>59.0</v>
      </c>
      <c r="D211" s="1" t="s">
        <v>16</v>
      </c>
      <c r="E211" s="1" t="s">
        <v>17</v>
      </c>
      <c r="F211" s="1" t="s">
        <v>32</v>
      </c>
      <c r="G211" s="1">
        <v>1.0</v>
      </c>
      <c r="H211" s="1">
        <v>59022.0</v>
      </c>
      <c r="I211" s="1" t="s">
        <v>38</v>
      </c>
      <c r="J211" s="1" t="s">
        <v>34</v>
      </c>
      <c r="K211" s="1" t="s">
        <v>21</v>
      </c>
      <c r="L211" s="1">
        <v>2.0</v>
      </c>
      <c r="M211" s="3">
        <v>45839.0</v>
      </c>
      <c r="N211" s="4">
        <f t="shared" si="1"/>
        <v>7</v>
      </c>
      <c r="O211" s="4">
        <f t="shared" si="2"/>
        <v>2025</v>
      </c>
    </row>
    <row r="212">
      <c r="A212" s="1">
        <v>211.0</v>
      </c>
      <c r="B212" s="1" t="s">
        <v>83</v>
      </c>
      <c r="C212" s="1">
        <v>22.0</v>
      </c>
      <c r="D212" s="1" t="s">
        <v>23</v>
      </c>
      <c r="E212" s="1" t="s">
        <v>17</v>
      </c>
      <c r="F212" s="1" t="s">
        <v>32</v>
      </c>
      <c r="G212" s="1">
        <v>11.0</v>
      </c>
      <c r="H212" s="1">
        <v>82994.0</v>
      </c>
      <c r="I212" s="1" t="s">
        <v>19</v>
      </c>
      <c r="J212" s="1" t="s">
        <v>29</v>
      </c>
      <c r="K212" s="1" t="s">
        <v>21</v>
      </c>
      <c r="L212" s="1">
        <v>2.0</v>
      </c>
      <c r="M212" s="3">
        <v>42131.0</v>
      </c>
      <c r="N212" s="4">
        <f t="shared" si="1"/>
        <v>5</v>
      </c>
      <c r="O212" s="4">
        <f t="shared" si="2"/>
        <v>2015</v>
      </c>
    </row>
    <row r="213">
      <c r="A213" s="1">
        <v>212.0</v>
      </c>
      <c r="B213" s="1" t="s">
        <v>47</v>
      </c>
      <c r="C213" s="1">
        <v>25.0</v>
      </c>
      <c r="D213" s="1" t="s">
        <v>16</v>
      </c>
      <c r="E213" s="1" t="s">
        <v>39</v>
      </c>
      <c r="F213" s="1" t="s">
        <v>49</v>
      </c>
      <c r="G213" s="1">
        <v>7.0</v>
      </c>
      <c r="H213" s="1">
        <v>104115.0</v>
      </c>
      <c r="I213" s="1" t="s">
        <v>33</v>
      </c>
      <c r="J213" s="1" t="s">
        <v>34</v>
      </c>
      <c r="K213" s="1" t="s">
        <v>26</v>
      </c>
      <c r="L213" s="1">
        <v>1.0</v>
      </c>
      <c r="M213" s="3">
        <v>43770.0</v>
      </c>
      <c r="N213" s="4">
        <f t="shared" si="1"/>
        <v>11</v>
      </c>
      <c r="O213" s="4">
        <f t="shared" si="2"/>
        <v>2019</v>
      </c>
    </row>
    <row r="214">
      <c r="A214" s="1">
        <v>213.0</v>
      </c>
      <c r="B214" s="1" t="s">
        <v>83</v>
      </c>
      <c r="C214" s="1">
        <v>23.0</v>
      </c>
      <c r="D214" s="1" t="s">
        <v>16</v>
      </c>
      <c r="E214" s="1" t="s">
        <v>17</v>
      </c>
      <c r="F214" s="1" t="s">
        <v>49</v>
      </c>
      <c r="G214" s="1">
        <v>1.0</v>
      </c>
      <c r="H214" s="1">
        <v>86365.0</v>
      </c>
      <c r="I214" s="1" t="s">
        <v>51</v>
      </c>
      <c r="J214" s="1" t="s">
        <v>20</v>
      </c>
      <c r="K214" s="1" t="s">
        <v>26</v>
      </c>
      <c r="L214" s="1">
        <v>3.0</v>
      </c>
      <c r="M214" s="3">
        <v>45694.0</v>
      </c>
      <c r="N214" s="4">
        <f t="shared" si="1"/>
        <v>2</v>
      </c>
      <c r="O214" s="4">
        <f t="shared" si="2"/>
        <v>2025</v>
      </c>
    </row>
    <row r="215">
      <c r="A215" s="1">
        <v>214.0</v>
      </c>
      <c r="B215" s="1" t="s">
        <v>35</v>
      </c>
      <c r="C215" s="1">
        <v>43.0</v>
      </c>
      <c r="D215" s="1" t="s">
        <v>16</v>
      </c>
      <c r="E215" s="1" t="s">
        <v>28</v>
      </c>
      <c r="F215" s="1" t="s">
        <v>18</v>
      </c>
      <c r="G215" s="1">
        <v>1.0</v>
      </c>
      <c r="H215" s="1">
        <v>86548.0</v>
      </c>
      <c r="I215" s="1" t="s">
        <v>19</v>
      </c>
      <c r="J215" s="1" t="s">
        <v>20</v>
      </c>
      <c r="K215" s="1" t="s">
        <v>21</v>
      </c>
      <c r="L215" s="1">
        <v>5.0</v>
      </c>
      <c r="M215" s="3">
        <v>46005.0</v>
      </c>
      <c r="N215" s="4">
        <f t="shared" si="1"/>
        <v>12</v>
      </c>
      <c r="O215" s="4">
        <f t="shared" si="2"/>
        <v>2025</v>
      </c>
    </row>
    <row r="216">
      <c r="A216" s="1">
        <v>215.0</v>
      </c>
      <c r="B216" s="1" t="s">
        <v>59</v>
      </c>
      <c r="C216" s="1">
        <v>46.0</v>
      </c>
      <c r="D216" s="1" t="s">
        <v>16</v>
      </c>
      <c r="E216" s="1" t="s">
        <v>42</v>
      </c>
      <c r="F216" s="1" t="s">
        <v>49</v>
      </c>
      <c r="G216" s="1">
        <v>3.0</v>
      </c>
      <c r="H216" s="1">
        <v>106550.0</v>
      </c>
      <c r="I216" s="1" t="s">
        <v>43</v>
      </c>
      <c r="J216" s="1" t="s">
        <v>20</v>
      </c>
      <c r="K216" s="1" t="s">
        <v>26</v>
      </c>
      <c r="L216" s="1">
        <v>2.0</v>
      </c>
      <c r="M216" s="3">
        <v>45215.0</v>
      </c>
      <c r="N216" s="4">
        <f t="shared" si="1"/>
        <v>10</v>
      </c>
      <c r="O216" s="4">
        <f t="shared" si="2"/>
        <v>2023</v>
      </c>
    </row>
    <row r="217">
      <c r="A217" s="1">
        <v>216.0</v>
      </c>
      <c r="B217" s="1" t="s">
        <v>48</v>
      </c>
      <c r="C217" s="1">
        <v>56.0</v>
      </c>
      <c r="D217" s="1" t="s">
        <v>16</v>
      </c>
      <c r="E217" s="1" t="s">
        <v>28</v>
      </c>
      <c r="F217" s="1" t="s">
        <v>37</v>
      </c>
      <c r="G217" s="1">
        <v>11.0</v>
      </c>
      <c r="H217" s="1">
        <v>24686.0</v>
      </c>
      <c r="I217" s="1" t="s">
        <v>43</v>
      </c>
      <c r="J217" s="1" t="s">
        <v>34</v>
      </c>
      <c r="K217" s="1" t="s">
        <v>26</v>
      </c>
      <c r="L217" s="1">
        <v>1.0</v>
      </c>
      <c r="M217" s="3">
        <v>42180.0</v>
      </c>
      <c r="N217" s="4">
        <f t="shared" si="1"/>
        <v>6</v>
      </c>
      <c r="O217" s="4">
        <f t="shared" si="2"/>
        <v>2015</v>
      </c>
    </row>
    <row r="218">
      <c r="A218" s="1">
        <v>217.0</v>
      </c>
      <c r="B218" s="1" t="s">
        <v>105</v>
      </c>
      <c r="C218" s="1">
        <v>28.0</v>
      </c>
      <c r="D218" s="1" t="s">
        <v>23</v>
      </c>
      <c r="E218" s="1" t="s">
        <v>39</v>
      </c>
      <c r="F218" s="1" t="s">
        <v>37</v>
      </c>
      <c r="G218" s="1">
        <v>10.0</v>
      </c>
      <c r="H218" s="1">
        <v>64219.0</v>
      </c>
      <c r="I218" s="1" t="s">
        <v>19</v>
      </c>
      <c r="J218" s="1" t="s">
        <v>34</v>
      </c>
      <c r="K218" s="1" t="s">
        <v>26</v>
      </c>
      <c r="L218" s="1">
        <v>4.0</v>
      </c>
      <c r="M218" s="3">
        <v>42601.0</v>
      </c>
      <c r="N218" s="4">
        <f t="shared" si="1"/>
        <v>8</v>
      </c>
      <c r="O218" s="4">
        <f t="shared" si="2"/>
        <v>2016</v>
      </c>
    </row>
    <row r="219">
      <c r="A219" s="1">
        <v>218.0</v>
      </c>
      <c r="B219" s="1" t="s">
        <v>76</v>
      </c>
      <c r="C219" s="1">
        <v>41.0</v>
      </c>
      <c r="D219" s="1" t="s">
        <v>16</v>
      </c>
      <c r="E219" s="1" t="s">
        <v>36</v>
      </c>
      <c r="F219" s="1" t="s">
        <v>24</v>
      </c>
      <c r="G219" s="1">
        <v>0.0</v>
      </c>
      <c r="H219" s="1">
        <v>106746.0</v>
      </c>
      <c r="I219" s="1" t="s">
        <v>38</v>
      </c>
      <c r="J219" s="1" t="s">
        <v>34</v>
      </c>
      <c r="K219" s="1" t="s">
        <v>26</v>
      </c>
      <c r="L219" s="1">
        <v>2.0</v>
      </c>
      <c r="M219" s="3">
        <v>46088.0</v>
      </c>
      <c r="N219" s="4">
        <f t="shared" si="1"/>
        <v>3</v>
      </c>
      <c r="O219" s="4">
        <f t="shared" si="2"/>
        <v>2026</v>
      </c>
    </row>
    <row r="220">
      <c r="A220" s="1">
        <v>219.0</v>
      </c>
      <c r="B220" s="1" t="s">
        <v>94</v>
      </c>
      <c r="C220" s="1">
        <v>50.0</v>
      </c>
      <c r="D220" s="1" t="s">
        <v>16</v>
      </c>
      <c r="E220" s="1" t="s">
        <v>17</v>
      </c>
      <c r="F220" s="1" t="s">
        <v>18</v>
      </c>
      <c r="G220" s="1">
        <v>7.0</v>
      </c>
      <c r="H220" s="1">
        <v>34831.0</v>
      </c>
      <c r="I220" s="1" t="s">
        <v>25</v>
      </c>
      <c r="J220" s="1" t="s">
        <v>20</v>
      </c>
      <c r="K220" s="1" t="s">
        <v>26</v>
      </c>
      <c r="L220" s="1">
        <v>2.0</v>
      </c>
      <c r="M220" s="3">
        <v>43634.0</v>
      </c>
      <c r="N220" s="4">
        <f t="shared" si="1"/>
        <v>6</v>
      </c>
      <c r="O220" s="4">
        <f t="shared" si="2"/>
        <v>2019</v>
      </c>
    </row>
    <row r="221">
      <c r="A221" s="1">
        <v>220.0</v>
      </c>
      <c r="B221" s="1" t="s">
        <v>91</v>
      </c>
      <c r="C221" s="1">
        <v>60.0</v>
      </c>
      <c r="D221" s="1" t="s">
        <v>23</v>
      </c>
      <c r="E221" s="1" t="s">
        <v>31</v>
      </c>
      <c r="F221" s="1" t="s">
        <v>32</v>
      </c>
      <c r="G221" s="1">
        <v>8.0</v>
      </c>
      <c r="H221" s="1">
        <v>43477.0</v>
      </c>
      <c r="I221" s="1" t="s">
        <v>19</v>
      </c>
      <c r="J221" s="1" t="s">
        <v>29</v>
      </c>
      <c r="K221" s="1" t="s">
        <v>26</v>
      </c>
      <c r="L221" s="1">
        <v>5.0</v>
      </c>
      <c r="M221" s="3">
        <v>43259.0</v>
      </c>
      <c r="N221" s="4">
        <f t="shared" si="1"/>
        <v>6</v>
      </c>
      <c r="O221" s="4">
        <f t="shared" si="2"/>
        <v>2018</v>
      </c>
    </row>
    <row r="222">
      <c r="A222" s="1">
        <v>221.0</v>
      </c>
      <c r="B222" s="1" t="s">
        <v>53</v>
      </c>
      <c r="C222" s="1">
        <v>26.0</v>
      </c>
      <c r="D222" s="1" t="s">
        <v>23</v>
      </c>
      <c r="E222" s="1" t="s">
        <v>28</v>
      </c>
      <c r="F222" s="1" t="s">
        <v>37</v>
      </c>
      <c r="G222" s="1">
        <v>3.0</v>
      </c>
      <c r="H222" s="1">
        <v>70970.0</v>
      </c>
      <c r="I222" s="1" t="s">
        <v>51</v>
      </c>
      <c r="J222" s="1" t="s">
        <v>34</v>
      </c>
      <c r="K222" s="1" t="s">
        <v>26</v>
      </c>
      <c r="L222" s="1">
        <v>3.0</v>
      </c>
      <c r="M222" s="3">
        <v>45192.0</v>
      </c>
      <c r="N222" s="4">
        <f t="shared" si="1"/>
        <v>9</v>
      </c>
      <c r="O222" s="4">
        <f t="shared" si="2"/>
        <v>2023</v>
      </c>
    </row>
    <row r="223">
      <c r="A223" s="1">
        <v>222.0</v>
      </c>
      <c r="B223" s="1" t="s">
        <v>82</v>
      </c>
      <c r="C223" s="1">
        <v>48.0</v>
      </c>
      <c r="D223" s="1" t="s">
        <v>16</v>
      </c>
      <c r="E223" s="1" t="s">
        <v>17</v>
      </c>
      <c r="F223" s="1" t="s">
        <v>37</v>
      </c>
      <c r="G223" s="1">
        <v>14.0</v>
      </c>
      <c r="H223" s="1">
        <v>77860.0</v>
      </c>
      <c r="I223" s="1" t="s">
        <v>38</v>
      </c>
      <c r="J223" s="1" t="s">
        <v>29</v>
      </c>
      <c r="K223" s="1" t="s">
        <v>21</v>
      </c>
      <c r="L223" s="1">
        <v>1.0</v>
      </c>
      <c r="M223" s="3">
        <v>41262.0</v>
      </c>
      <c r="N223" s="4">
        <f t="shared" si="1"/>
        <v>12</v>
      </c>
      <c r="O223" s="4">
        <f t="shared" si="2"/>
        <v>2012</v>
      </c>
    </row>
    <row r="224">
      <c r="A224" s="1">
        <v>223.0</v>
      </c>
      <c r="B224" s="1" t="s">
        <v>77</v>
      </c>
      <c r="C224" s="1">
        <v>43.0</v>
      </c>
      <c r="D224" s="1" t="s">
        <v>16</v>
      </c>
      <c r="E224" s="1" t="s">
        <v>28</v>
      </c>
      <c r="F224" s="1" t="s">
        <v>49</v>
      </c>
      <c r="G224" s="1">
        <v>1.0</v>
      </c>
      <c r="H224" s="1">
        <v>93782.0</v>
      </c>
      <c r="I224" s="1" t="s">
        <v>38</v>
      </c>
      <c r="J224" s="1" t="s">
        <v>34</v>
      </c>
      <c r="K224" s="1" t="s">
        <v>21</v>
      </c>
      <c r="L224" s="1">
        <v>5.0</v>
      </c>
      <c r="M224" s="3">
        <v>45913.0</v>
      </c>
      <c r="N224" s="4">
        <f t="shared" si="1"/>
        <v>9</v>
      </c>
      <c r="O224" s="4">
        <f t="shared" si="2"/>
        <v>2025</v>
      </c>
    </row>
    <row r="225">
      <c r="A225" s="1">
        <v>224.0</v>
      </c>
      <c r="B225" s="1" t="s">
        <v>50</v>
      </c>
      <c r="C225" s="1">
        <v>48.0</v>
      </c>
      <c r="D225" s="1" t="s">
        <v>23</v>
      </c>
      <c r="E225" s="1" t="s">
        <v>39</v>
      </c>
      <c r="F225" s="1" t="s">
        <v>32</v>
      </c>
      <c r="G225" s="1">
        <v>11.0</v>
      </c>
      <c r="H225" s="1">
        <v>108129.0</v>
      </c>
      <c r="I225" s="1" t="s">
        <v>25</v>
      </c>
      <c r="J225" s="1" t="s">
        <v>29</v>
      </c>
      <c r="K225" s="1" t="s">
        <v>26</v>
      </c>
      <c r="L225" s="1">
        <v>5.0</v>
      </c>
      <c r="M225" s="3">
        <v>42057.0</v>
      </c>
      <c r="N225" s="4">
        <f t="shared" si="1"/>
        <v>2</v>
      </c>
      <c r="O225" s="4">
        <f t="shared" si="2"/>
        <v>2015</v>
      </c>
    </row>
    <row r="226">
      <c r="A226" s="1">
        <v>225.0</v>
      </c>
      <c r="B226" s="1" t="s">
        <v>131</v>
      </c>
      <c r="C226" s="1">
        <v>54.0</v>
      </c>
      <c r="D226" s="1" t="s">
        <v>23</v>
      </c>
      <c r="E226" s="1" t="s">
        <v>28</v>
      </c>
      <c r="F226" s="1" t="s">
        <v>32</v>
      </c>
      <c r="G226" s="1">
        <v>4.0</v>
      </c>
      <c r="H226" s="1">
        <v>102619.0</v>
      </c>
      <c r="I226" s="1" t="s">
        <v>38</v>
      </c>
      <c r="J226" s="1" t="s">
        <v>20</v>
      </c>
      <c r="K226" s="1" t="s">
        <v>21</v>
      </c>
      <c r="L226" s="1">
        <v>1.0</v>
      </c>
      <c r="M226" s="3">
        <v>44675.0</v>
      </c>
      <c r="N226" s="4">
        <f t="shared" si="1"/>
        <v>4</v>
      </c>
      <c r="O226" s="4">
        <f t="shared" si="2"/>
        <v>2022</v>
      </c>
    </row>
    <row r="227">
      <c r="A227" s="1">
        <v>226.0</v>
      </c>
      <c r="B227" s="1" t="s">
        <v>123</v>
      </c>
      <c r="C227" s="1">
        <v>51.0</v>
      </c>
      <c r="D227" s="1" t="s">
        <v>23</v>
      </c>
      <c r="E227" s="1" t="s">
        <v>17</v>
      </c>
      <c r="F227" s="1" t="s">
        <v>18</v>
      </c>
      <c r="G227" s="1">
        <v>13.0</v>
      </c>
      <c r="H227" s="1">
        <v>109132.0</v>
      </c>
      <c r="I227" s="1" t="s">
        <v>33</v>
      </c>
      <c r="J227" s="1" t="s">
        <v>34</v>
      </c>
      <c r="K227" s="1" t="s">
        <v>21</v>
      </c>
      <c r="L227" s="1">
        <v>4.0</v>
      </c>
      <c r="M227" s="3">
        <v>41449.0</v>
      </c>
      <c r="N227" s="4">
        <f t="shared" si="1"/>
        <v>6</v>
      </c>
      <c r="O227" s="4">
        <f t="shared" si="2"/>
        <v>2013</v>
      </c>
    </row>
    <row r="228">
      <c r="A228" s="1">
        <v>227.0</v>
      </c>
      <c r="B228" s="1" t="s">
        <v>80</v>
      </c>
      <c r="C228" s="1">
        <v>32.0</v>
      </c>
      <c r="D228" s="1" t="s">
        <v>16</v>
      </c>
      <c r="E228" s="1" t="s">
        <v>39</v>
      </c>
      <c r="F228" s="1" t="s">
        <v>37</v>
      </c>
      <c r="G228" s="1">
        <v>13.0</v>
      </c>
      <c r="H228" s="1">
        <v>25035.0</v>
      </c>
      <c r="I228" s="1" t="s">
        <v>25</v>
      </c>
      <c r="J228" s="1" t="s">
        <v>20</v>
      </c>
      <c r="K228" s="1" t="s">
        <v>21</v>
      </c>
      <c r="L228" s="1">
        <v>4.0</v>
      </c>
      <c r="M228" s="3">
        <v>41292.0</v>
      </c>
      <c r="N228" s="4">
        <f t="shared" si="1"/>
        <v>1</v>
      </c>
      <c r="O228" s="4">
        <f t="shared" si="2"/>
        <v>2013</v>
      </c>
    </row>
    <row r="229">
      <c r="A229" s="1">
        <v>228.0</v>
      </c>
      <c r="B229" s="1" t="s">
        <v>95</v>
      </c>
      <c r="C229" s="1">
        <v>55.0</v>
      </c>
      <c r="D229" s="1" t="s">
        <v>16</v>
      </c>
      <c r="E229" s="1" t="s">
        <v>31</v>
      </c>
      <c r="F229" s="1" t="s">
        <v>18</v>
      </c>
      <c r="G229" s="1">
        <v>4.0</v>
      </c>
      <c r="H229" s="1">
        <v>76408.0</v>
      </c>
      <c r="I229" s="1" t="s">
        <v>38</v>
      </c>
      <c r="J229" s="1" t="s">
        <v>29</v>
      </c>
      <c r="K229" s="1" t="s">
        <v>26</v>
      </c>
      <c r="L229" s="1">
        <v>2.0</v>
      </c>
      <c r="M229" s="3">
        <v>44630.0</v>
      </c>
      <c r="N229" s="4">
        <f t="shared" si="1"/>
        <v>3</v>
      </c>
      <c r="O229" s="4">
        <f t="shared" si="2"/>
        <v>2022</v>
      </c>
    </row>
    <row r="230">
      <c r="A230" s="1">
        <v>229.0</v>
      </c>
      <c r="B230" s="1" t="s">
        <v>73</v>
      </c>
      <c r="C230" s="1">
        <v>54.0</v>
      </c>
      <c r="D230" s="1" t="s">
        <v>16</v>
      </c>
      <c r="E230" s="1" t="s">
        <v>17</v>
      </c>
      <c r="F230" s="1" t="s">
        <v>18</v>
      </c>
      <c r="G230" s="1">
        <v>7.0</v>
      </c>
      <c r="H230" s="1">
        <v>52161.0</v>
      </c>
      <c r="I230" s="1" t="s">
        <v>25</v>
      </c>
      <c r="J230" s="1" t="s">
        <v>20</v>
      </c>
      <c r="K230" s="1" t="s">
        <v>26</v>
      </c>
      <c r="L230" s="1">
        <v>4.0</v>
      </c>
      <c r="M230" s="3">
        <v>43482.0</v>
      </c>
      <c r="N230" s="4">
        <f t="shared" si="1"/>
        <v>1</v>
      </c>
      <c r="O230" s="4">
        <f t="shared" si="2"/>
        <v>2019</v>
      </c>
    </row>
    <row r="231">
      <c r="A231" s="1">
        <v>230.0</v>
      </c>
      <c r="B231" s="1" t="s">
        <v>27</v>
      </c>
      <c r="C231" s="1">
        <v>53.0</v>
      </c>
      <c r="D231" s="1" t="s">
        <v>16</v>
      </c>
      <c r="E231" s="1" t="s">
        <v>39</v>
      </c>
      <c r="F231" s="1" t="s">
        <v>32</v>
      </c>
      <c r="G231" s="1">
        <v>7.0</v>
      </c>
      <c r="H231" s="1">
        <v>48016.0</v>
      </c>
      <c r="I231" s="1" t="s">
        <v>38</v>
      </c>
      <c r="J231" s="1" t="s">
        <v>34</v>
      </c>
      <c r="K231" s="1" t="s">
        <v>26</v>
      </c>
      <c r="L231" s="1">
        <v>2.0</v>
      </c>
      <c r="M231" s="3">
        <v>43504.0</v>
      </c>
      <c r="N231" s="4">
        <f t="shared" si="1"/>
        <v>2</v>
      </c>
      <c r="O231" s="4">
        <f t="shared" si="2"/>
        <v>2019</v>
      </c>
    </row>
    <row r="232">
      <c r="A232" s="1">
        <v>231.0</v>
      </c>
      <c r="B232" s="1" t="s">
        <v>76</v>
      </c>
      <c r="C232" s="1">
        <v>31.0</v>
      </c>
      <c r="D232" s="1" t="s">
        <v>23</v>
      </c>
      <c r="E232" s="1" t="s">
        <v>36</v>
      </c>
      <c r="F232" s="1" t="s">
        <v>32</v>
      </c>
      <c r="G232" s="1">
        <v>2.0</v>
      </c>
      <c r="H232" s="1">
        <v>43536.0</v>
      </c>
      <c r="I232" s="1" t="s">
        <v>43</v>
      </c>
      <c r="J232" s="1" t="s">
        <v>20</v>
      </c>
      <c r="K232" s="1" t="s">
        <v>26</v>
      </c>
      <c r="L232" s="1">
        <v>2.0</v>
      </c>
      <c r="M232" s="3">
        <v>45377.0</v>
      </c>
      <c r="N232" s="4">
        <f t="shared" si="1"/>
        <v>3</v>
      </c>
      <c r="O232" s="4">
        <f t="shared" si="2"/>
        <v>2024</v>
      </c>
    </row>
    <row r="233">
      <c r="A233" s="1">
        <v>232.0</v>
      </c>
      <c r="B233" s="1" t="s">
        <v>46</v>
      </c>
      <c r="C233" s="1">
        <v>21.0</v>
      </c>
      <c r="D233" s="1" t="s">
        <v>23</v>
      </c>
      <c r="E233" s="1" t="s">
        <v>42</v>
      </c>
      <c r="F233" s="1" t="s">
        <v>37</v>
      </c>
      <c r="G233" s="1">
        <v>9.0</v>
      </c>
      <c r="H233" s="1">
        <v>50259.0</v>
      </c>
      <c r="I233" s="1" t="s">
        <v>19</v>
      </c>
      <c r="J233" s="1" t="s">
        <v>34</v>
      </c>
      <c r="K233" s="1" t="s">
        <v>26</v>
      </c>
      <c r="L233" s="1">
        <v>5.0</v>
      </c>
      <c r="M233" s="3">
        <v>42953.0</v>
      </c>
      <c r="N233" s="4">
        <f t="shared" si="1"/>
        <v>8</v>
      </c>
      <c r="O233" s="4">
        <f t="shared" si="2"/>
        <v>2017</v>
      </c>
    </row>
    <row r="234">
      <c r="A234" s="1">
        <v>233.0</v>
      </c>
      <c r="B234" s="1" t="s">
        <v>126</v>
      </c>
      <c r="C234" s="1">
        <v>28.0</v>
      </c>
      <c r="D234" s="1" t="s">
        <v>16</v>
      </c>
      <c r="E234" s="1" t="s">
        <v>39</v>
      </c>
      <c r="F234" s="1" t="s">
        <v>24</v>
      </c>
      <c r="G234" s="1">
        <v>1.0</v>
      </c>
      <c r="H234" s="1">
        <v>64614.0</v>
      </c>
      <c r="I234" s="1" t="s">
        <v>38</v>
      </c>
      <c r="J234" s="1" t="s">
        <v>20</v>
      </c>
      <c r="K234" s="1" t="s">
        <v>26</v>
      </c>
      <c r="L234" s="1">
        <v>1.0</v>
      </c>
      <c r="M234" s="3">
        <v>45911.0</v>
      </c>
      <c r="N234" s="4">
        <f t="shared" si="1"/>
        <v>9</v>
      </c>
      <c r="O234" s="4">
        <f t="shared" si="2"/>
        <v>2025</v>
      </c>
    </row>
    <row r="235">
      <c r="A235" s="1">
        <v>234.0</v>
      </c>
      <c r="B235" s="1" t="s">
        <v>106</v>
      </c>
      <c r="C235" s="1">
        <v>42.0</v>
      </c>
      <c r="D235" s="1" t="s">
        <v>16</v>
      </c>
      <c r="E235" s="1" t="s">
        <v>42</v>
      </c>
      <c r="F235" s="1" t="s">
        <v>18</v>
      </c>
      <c r="G235" s="1">
        <v>2.0</v>
      </c>
      <c r="H235" s="1">
        <v>92579.0</v>
      </c>
      <c r="I235" s="1" t="s">
        <v>38</v>
      </c>
      <c r="J235" s="1" t="s">
        <v>34</v>
      </c>
      <c r="K235" s="1" t="s">
        <v>21</v>
      </c>
      <c r="L235" s="1">
        <v>1.0</v>
      </c>
      <c r="M235" s="3">
        <v>45387.0</v>
      </c>
      <c r="N235" s="4">
        <f t="shared" si="1"/>
        <v>4</v>
      </c>
      <c r="O235" s="4">
        <f t="shared" si="2"/>
        <v>2024</v>
      </c>
    </row>
    <row r="236">
      <c r="A236" s="1">
        <v>235.0</v>
      </c>
      <c r="B236" s="1" t="s">
        <v>115</v>
      </c>
      <c r="C236" s="1">
        <v>47.0</v>
      </c>
      <c r="D236" s="1" t="s">
        <v>23</v>
      </c>
      <c r="E236" s="1" t="s">
        <v>31</v>
      </c>
      <c r="F236" s="1" t="s">
        <v>18</v>
      </c>
      <c r="G236" s="1">
        <v>13.0</v>
      </c>
      <c r="H236" s="1">
        <v>79569.0</v>
      </c>
      <c r="I236" s="1" t="s">
        <v>33</v>
      </c>
      <c r="J236" s="1" t="s">
        <v>29</v>
      </c>
      <c r="K236" s="1" t="s">
        <v>26</v>
      </c>
      <c r="L236" s="1">
        <v>2.0</v>
      </c>
      <c r="M236" s="3">
        <v>41317.0</v>
      </c>
      <c r="N236" s="4">
        <f t="shared" si="1"/>
        <v>2</v>
      </c>
      <c r="O236" s="4">
        <f t="shared" si="2"/>
        <v>2013</v>
      </c>
    </row>
    <row r="237">
      <c r="A237" s="1">
        <v>236.0</v>
      </c>
      <c r="B237" s="1" t="s">
        <v>68</v>
      </c>
      <c r="C237" s="1">
        <v>48.0</v>
      </c>
      <c r="D237" s="1" t="s">
        <v>23</v>
      </c>
      <c r="E237" s="1" t="s">
        <v>31</v>
      </c>
      <c r="F237" s="1" t="s">
        <v>24</v>
      </c>
      <c r="G237" s="1">
        <v>1.0</v>
      </c>
      <c r="H237" s="1">
        <v>67793.0</v>
      </c>
      <c r="I237" s="1" t="s">
        <v>38</v>
      </c>
      <c r="J237" s="1" t="s">
        <v>20</v>
      </c>
      <c r="K237" s="1" t="s">
        <v>26</v>
      </c>
      <c r="L237" s="1">
        <v>2.0</v>
      </c>
      <c r="M237" s="3">
        <v>45913.0</v>
      </c>
      <c r="N237" s="4">
        <f t="shared" si="1"/>
        <v>9</v>
      </c>
      <c r="O237" s="4">
        <f t="shared" si="2"/>
        <v>2025</v>
      </c>
    </row>
    <row r="238">
      <c r="A238" s="1">
        <v>237.0</v>
      </c>
      <c r="B238" s="1" t="s">
        <v>95</v>
      </c>
      <c r="C238" s="1">
        <v>48.0</v>
      </c>
      <c r="D238" s="1" t="s">
        <v>23</v>
      </c>
      <c r="E238" s="1" t="s">
        <v>31</v>
      </c>
      <c r="F238" s="1" t="s">
        <v>49</v>
      </c>
      <c r="G238" s="1">
        <v>10.0</v>
      </c>
      <c r="H238" s="1">
        <v>53153.0</v>
      </c>
      <c r="I238" s="1" t="s">
        <v>33</v>
      </c>
      <c r="J238" s="1" t="s">
        <v>34</v>
      </c>
      <c r="K238" s="1" t="s">
        <v>21</v>
      </c>
      <c r="L238" s="1">
        <v>3.0</v>
      </c>
      <c r="M238" s="3">
        <v>42565.0</v>
      </c>
      <c r="N238" s="4">
        <f t="shared" si="1"/>
        <v>7</v>
      </c>
      <c r="O238" s="4">
        <f t="shared" si="2"/>
        <v>2016</v>
      </c>
    </row>
    <row r="239">
      <c r="A239" s="1">
        <v>238.0</v>
      </c>
      <c r="B239" s="1" t="s">
        <v>64</v>
      </c>
      <c r="C239" s="1">
        <v>57.0</v>
      </c>
      <c r="D239" s="1" t="s">
        <v>16</v>
      </c>
      <c r="E239" s="1" t="s">
        <v>36</v>
      </c>
      <c r="F239" s="1" t="s">
        <v>24</v>
      </c>
      <c r="G239" s="1">
        <v>10.0</v>
      </c>
      <c r="H239" s="1">
        <v>29981.0</v>
      </c>
      <c r="I239" s="1" t="s">
        <v>25</v>
      </c>
      <c r="J239" s="1" t="s">
        <v>29</v>
      </c>
      <c r="K239" s="1" t="s">
        <v>21</v>
      </c>
      <c r="L239" s="1">
        <v>4.0</v>
      </c>
      <c r="M239" s="3">
        <v>42626.0</v>
      </c>
      <c r="N239" s="4">
        <f t="shared" si="1"/>
        <v>9</v>
      </c>
      <c r="O239" s="4">
        <f t="shared" si="2"/>
        <v>2016</v>
      </c>
    </row>
    <row r="240">
      <c r="A240" s="1">
        <v>239.0</v>
      </c>
      <c r="B240" s="1" t="s">
        <v>72</v>
      </c>
      <c r="C240" s="1">
        <v>43.0</v>
      </c>
      <c r="D240" s="1" t="s">
        <v>23</v>
      </c>
      <c r="E240" s="1" t="s">
        <v>31</v>
      </c>
      <c r="F240" s="1" t="s">
        <v>18</v>
      </c>
      <c r="G240" s="1">
        <v>6.0</v>
      </c>
      <c r="H240" s="1">
        <v>77069.0</v>
      </c>
      <c r="I240" s="1" t="s">
        <v>51</v>
      </c>
      <c r="J240" s="1" t="s">
        <v>20</v>
      </c>
      <c r="K240" s="1" t="s">
        <v>21</v>
      </c>
      <c r="L240" s="1">
        <v>1.0</v>
      </c>
      <c r="M240" s="3">
        <v>44180.0</v>
      </c>
      <c r="N240" s="4">
        <f t="shared" si="1"/>
        <v>12</v>
      </c>
      <c r="O240" s="4">
        <f t="shared" si="2"/>
        <v>2020</v>
      </c>
    </row>
    <row r="241">
      <c r="A241" s="1">
        <v>240.0</v>
      </c>
      <c r="B241" s="1" t="s">
        <v>101</v>
      </c>
      <c r="C241" s="1">
        <v>58.0</v>
      </c>
      <c r="D241" s="1" t="s">
        <v>16</v>
      </c>
      <c r="E241" s="1" t="s">
        <v>28</v>
      </c>
      <c r="F241" s="1" t="s">
        <v>32</v>
      </c>
      <c r="G241" s="1">
        <v>15.0</v>
      </c>
      <c r="H241" s="1">
        <v>108430.0</v>
      </c>
      <c r="I241" s="1" t="s">
        <v>43</v>
      </c>
      <c r="J241" s="1" t="s">
        <v>29</v>
      </c>
      <c r="K241" s="1" t="s">
        <v>21</v>
      </c>
      <c r="L241" s="1">
        <v>2.0</v>
      </c>
      <c r="M241" s="3">
        <v>40878.0</v>
      </c>
      <c r="N241" s="4">
        <f t="shared" si="1"/>
        <v>12</v>
      </c>
      <c r="O241" s="4">
        <f t="shared" si="2"/>
        <v>2011</v>
      </c>
    </row>
    <row r="242">
      <c r="A242" s="1">
        <v>241.0</v>
      </c>
      <c r="B242" s="1" t="s">
        <v>122</v>
      </c>
      <c r="C242" s="1">
        <v>50.0</v>
      </c>
      <c r="D242" s="1" t="s">
        <v>16</v>
      </c>
      <c r="E242" s="1" t="s">
        <v>31</v>
      </c>
      <c r="F242" s="1" t="s">
        <v>18</v>
      </c>
      <c r="G242" s="1">
        <v>9.0</v>
      </c>
      <c r="H242" s="1">
        <v>54886.0</v>
      </c>
      <c r="I242" s="1" t="s">
        <v>51</v>
      </c>
      <c r="J242" s="1" t="s">
        <v>34</v>
      </c>
      <c r="K242" s="1" t="s">
        <v>26</v>
      </c>
      <c r="L242" s="1">
        <v>3.0</v>
      </c>
      <c r="M242" s="3">
        <v>42808.0</v>
      </c>
      <c r="N242" s="4">
        <f t="shared" si="1"/>
        <v>3</v>
      </c>
      <c r="O242" s="4">
        <f t="shared" si="2"/>
        <v>2017</v>
      </c>
    </row>
    <row r="243">
      <c r="A243" s="1">
        <v>242.0</v>
      </c>
      <c r="B243" s="1" t="s">
        <v>91</v>
      </c>
      <c r="C243" s="1">
        <v>50.0</v>
      </c>
      <c r="D243" s="1" t="s">
        <v>16</v>
      </c>
      <c r="E243" s="1" t="s">
        <v>39</v>
      </c>
      <c r="F243" s="1" t="s">
        <v>18</v>
      </c>
      <c r="G243" s="1">
        <v>7.0</v>
      </c>
      <c r="H243" s="1">
        <v>55482.0</v>
      </c>
      <c r="I243" s="1" t="s">
        <v>33</v>
      </c>
      <c r="J243" s="1" t="s">
        <v>29</v>
      </c>
      <c r="K243" s="1" t="s">
        <v>21</v>
      </c>
      <c r="L243" s="1">
        <v>1.0</v>
      </c>
      <c r="M243" s="3">
        <v>43599.0</v>
      </c>
      <c r="N243" s="4">
        <f t="shared" si="1"/>
        <v>5</v>
      </c>
      <c r="O243" s="4">
        <f t="shared" si="2"/>
        <v>2019</v>
      </c>
    </row>
    <row r="244">
      <c r="A244" s="1">
        <v>243.0</v>
      </c>
      <c r="B244" s="1" t="s">
        <v>111</v>
      </c>
      <c r="C244" s="1">
        <v>40.0</v>
      </c>
      <c r="D244" s="1" t="s">
        <v>16</v>
      </c>
      <c r="E244" s="1" t="s">
        <v>42</v>
      </c>
      <c r="F244" s="1" t="s">
        <v>37</v>
      </c>
      <c r="G244" s="1">
        <v>14.0</v>
      </c>
      <c r="H244" s="1">
        <v>115656.0</v>
      </c>
      <c r="I244" s="1" t="s">
        <v>51</v>
      </c>
      <c r="J244" s="1" t="s">
        <v>29</v>
      </c>
      <c r="K244" s="1" t="s">
        <v>26</v>
      </c>
      <c r="L244" s="1">
        <v>4.0</v>
      </c>
      <c r="M244" s="3">
        <v>41003.0</v>
      </c>
      <c r="N244" s="4">
        <f t="shared" si="1"/>
        <v>4</v>
      </c>
      <c r="O244" s="4">
        <f t="shared" si="2"/>
        <v>2012</v>
      </c>
    </row>
    <row r="245">
      <c r="A245" s="1">
        <v>244.0</v>
      </c>
      <c r="B245" s="1" t="s">
        <v>84</v>
      </c>
      <c r="C245" s="1">
        <v>30.0</v>
      </c>
      <c r="D245" s="1" t="s">
        <v>16</v>
      </c>
      <c r="E245" s="1" t="s">
        <v>28</v>
      </c>
      <c r="F245" s="1" t="s">
        <v>37</v>
      </c>
      <c r="G245" s="1">
        <v>4.0</v>
      </c>
      <c r="H245" s="1">
        <v>76742.0</v>
      </c>
      <c r="I245" s="1" t="s">
        <v>43</v>
      </c>
      <c r="J245" s="1" t="s">
        <v>29</v>
      </c>
      <c r="K245" s="1" t="s">
        <v>21</v>
      </c>
      <c r="L245" s="1">
        <v>1.0</v>
      </c>
      <c r="M245" s="3">
        <v>44867.0</v>
      </c>
      <c r="N245" s="4">
        <f t="shared" si="1"/>
        <v>11</v>
      </c>
      <c r="O245" s="4">
        <f t="shared" si="2"/>
        <v>2022</v>
      </c>
    </row>
    <row r="246">
      <c r="A246" s="1">
        <v>245.0</v>
      </c>
      <c r="B246" s="1" t="s">
        <v>113</v>
      </c>
      <c r="C246" s="1">
        <v>25.0</v>
      </c>
      <c r="D246" s="1" t="s">
        <v>23</v>
      </c>
      <c r="E246" s="1" t="s">
        <v>28</v>
      </c>
      <c r="F246" s="1" t="s">
        <v>32</v>
      </c>
      <c r="G246" s="1">
        <v>7.0</v>
      </c>
      <c r="H246" s="1">
        <v>54170.0</v>
      </c>
      <c r="I246" s="1" t="s">
        <v>51</v>
      </c>
      <c r="J246" s="1" t="s">
        <v>29</v>
      </c>
      <c r="K246" s="1" t="s">
        <v>21</v>
      </c>
      <c r="L246" s="1">
        <v>4.0</v>
      </c>
      <c r="M246" s="3">
        <v>43582.0</v>
      </c>
      <c r="N246" s="4">
        <f t="shared" si="1"/>
        <v>4</v>
      </c>
      <c r="O246" s="4">
        <f t="shared" si="2"/>
        <v>2019</v>
      </c>
    </row>
    <row r="247">
      <c r="A247" s="1">
        <v>246.0</v>
      </c>
      <c r="B247" s="1" t="s">
        <v>48</v>
      </c>
      <c r="C247" s="1">
        <v>49.0</v>
      </c>
      <c r="D247" s="1" t="s">
        <v>16</v>
      </c>
      <c r="E247" s="1" t="s">
        <v>17</v>
      </c>
      <c r="F247" s="1" t="s">
        <v>24</v>
      </c>
      <c r="G247" s="1">
        <v>10.0</v>
      </c>
      <c r="H247" s="1">
        <v>75732.0</v>
      </c>
      <c r="I247" s="1" t="s">
        <v>25</v>
      </c>
      <c r="J247" s="1" t="s">
        <v>34</v>
      </c>
      <c r="K247" s="1" t="s">
        <v>21</v>
      </c>
      <c r="L247" s="1">
        <v>2.0</v>
      </c>
      <c r="M247" s="3">
        <v>42498.0</v>
      </c>
      <c r="N247" s="4">
        <f t="shared" si="1"/>
        <v>5</v>
      </c>
      <c r="O247" s="4">
        <f t="shared" si="2"/>
        <v>2016</v>
      </c>
    </row>
    <row r="248">
      <c r="A248" s="1">
        <v>247.0</v>
      </c>
      <c r="B248" s="1" t="s">
        <v>54</v>
      </c>
      <c r="C248" s="1">
        <v>46.0</v>
      </c>
      <c r="D248" s="1" t="s">
        <v>16</v>
      </c>
      <c r="E248" s="1" t="s">
        <v>31</v>
      </c>
      <c r="F248" s="1" t="s">
        <v>18</v>
      </c>
      <c r="G248" s="1">
        <v>3.0</v>
      </c>
      <c r="H248" s="1">
        <v>66008.0</v>
      </c>
      <c r="I248" s="1" t="s">
        <v>33</v>
      </c>
      <c r="J248" s="1" t="s">
        <v>34</v>
      </c>
      <c r="K248" s="1" t="s">
        <v>21</v>
      </c>
      <c r="L248" s="1">
        <v>5.0</v>
      </c>
      <c r="M248" s="3">
        <v>45088.0</v>
      </c>
      <c r="N248" s="4">
        <f t="shared" si="1"/>
        <v>6</v>
      </c>
      <c r="O248" s="4">
        <f t="shared" si="2"/>
        <v>2023</v>
      </c>
    </row>
    <row r="249">
      <c r="A249" s="1">
        <v>248.0</v>
      </c>
      <c r="B249" s="1" t="s">
        <v>117</v>
      </c>
      <c r="C249" s="1">
        <v>28.0</v>
      </c>
      <c r="D249" s="1" t="s">
        <v>16</v>
      </c>
      <c r="E249" s="1" t="s">
        <v>36</v>
      </c>
      <c r="F249" s="1" t="s">
        <v>49</v>
      </c>
      <c r="G249" s="1">
        <v>8.0</v>
      </c>
      <c r="H249" s="1">
        <v>72096.0</v>
      </c>
      <c r="I249" s="1" t="s">
        <v>38</v>
      </c>
      <c r="J249" s="1" t="s">
        <v>29</v>
      </c>
      <c r="K249" s="1" t="s">
        <v>26</v>
      </c>
      <c r="L249" s="1">
        <v>1.0</v>
      </c>
      <c r="M249" s="3">
        <v>43304.0</v>
      </c>
      <c r="N249" s="4">
        <f t="shared" si="1"/>
        <v>7</v>
      </c>
      <c r="O249" s="4">
        <f t="shared" si="2"/>
        <v>2018</v>
      </c>
    </row>
    <row r="250">
      <c r="A250" s="1">
        <v>249.0</v>
      </c>
      <c r="B250" s="1" t="s">
        <v>100</v>
      </c>
      <c r="C250" s="1">
        <v>56.0</v>
      </c>
      <c r="D250" s="1" t="s">
        <v>16</v>
      </c>
      <c r="E250" s="1" t="s">
        <v>28</v>
      </c>
      <c r="F250" s="1" t="s">
        <v>37</v>
      </c>
      <c r="G250" s="1">
        <v>9.0</v>
      </c>
      <c r="H250" s="1">
        <v>86979.0</v>
      </c>
      <c r="I250" s="1" t="s">
        <v>38</v>
      </c>
      <c r="J250" s="1" t="s">
        <v>29</v>
      </c>
      <c r="K250" s="1" t="s">
        <v>26</v>
      </c>
      <c r="L250" s="1">
        <v>5.0</v>
      </c>
      <c r="M250" s="3">
        <v>42961.0</v>
      </c>
      <c r="N250" s="4">
        <f t="shared" si="1"/>
        <v>8</v>
      </c>
      <c r="O250" s="4">
        <f t="shared" si="2"/>
        <v>2017</v>
      </c>
    </row>
    <row r="251">
      <c r="A251" s="1">
        <v>250.0</v>
      </c>
      <c r="B251" s="1" t="s">
        <v>126</v>
      </c>
      <c r="C251" s="1">
        <v>46.0</v>
      </c>
      <c r="D251" s="1" t="s">
        <v>16</v>
      </c>
      <c r="E251" s="1" t="s">
        <v>17</v>
      </c>
      <c r="F251" s="1" t="s">
        <v>24</v>
      </c>
      <c r="G251" s="1">
        <v>10.0</v>
      </c>
      <c r="H251" s="1">
        <v>33939.0</v>
      </c>
      <c r="I251" s="1" t="s">
        <v>43</v>
      </c>
      <c r="J251" s="1" t="s">
        <v>20</v>
      </c>
      <c r="K251" s="1" t="s">
        <v>21</v>
      </c>
      <c r="L251" s="1">
        <v>4.0</v>
      </c>
      <c r="M251" s="3">
        <v>42477.0</v>
      </c>
      <c r="N251" s="4">
        <f t="shared" si="1"/>
        <v>4</v>
      </c>
      <c r="O251" s="4">
        <f t="shared" si="2"/>
        <v>2016</v>
      </c>
    </row>
    <row r="252">
      <c r="A252" s="1">
        <v>251.0</v>
      </c>
      <c r="B252" s="1" t="s">
        <v>110</v>
      </c>
      <c r="C252" s="1">
        <v>30.0</v>
      </c>
      <c r="D252" s="1" t="s">
        <v>16</v>
      </c>
      <c r="E252" s="1" t="s">
        <v>28</v>
      </c>
      <c r="F252" s="1" t="s">
        <v>32</v>
      </c>
      <c r="G252" s="1">
        <v>2.0</v>
      </c>
      <c r="H252" s="1">
        <v>92147.0</v>
      </c>
      <c r="I252" s="1" t="s">
        <v>43</v>
      </c>
      <c r="J252" s="1" t="s">
        <v>34</v>
      </c>
      <c r="K252" s="1" t="s">
        <v>26</v>
      </c>
      <c r="L252" s="1">
        <v>5.0</v>
      </c>
      <c r="M252" s="3">
        <v>45437.0</v>
      </c>
      <c r="N252" s="4">
        <f t="shared" si="1"/>
        <v>5</v>
      </c>
      <c r="O252" s="4">
        <f t="shared" si="2"/>
        <v>2024</v>
      </c>
    </row>
    <row r="253">
      <c r="A253" s="1">
        <v>252.0</v>
      </c>
      <c r="B253" s="1" t="s">
        <v>68</v>
      </c>
      <c r="C253" s="1">
        <v>59.0</v>
      </c>
      <c r="D253" s="1" t="s">
        <v>23</v>
      </c>
      <c r="E253" s="1" t="s">
        <v>36</v>
      </c>
      <c r="F253" s="1" t="s">
        <v>18</v>
      </c>
      <c r="G253" s="1">
        <v>1.0</v>
      </c>
      <c r="H253" s="1">
        <v>95003.0</v>
      </c>
      <c r="I253" s="1" t="s">
        <v>38</v>
      </c>
      <c r="J253" s="1" t="s">
        <v>34</v>
      </c>
      <c r="K253" s="1" t="s">
        <v>21</v>
      </c>
      <c r="L253" s="1">
        <v>3.0</v>
      </c>
      <c r="M253" s="3">
        <v>45749.0</v>
      </c>
      <c r="N253" s="4">
        <f t="shared" si="1"/>
        <v>4</v>
      </c>
      <c r="O253" s="4">
        <f t="shared" si="2"/>
        <v>2025</v>
      </c>
    </row>
    <row r="254">
      <c r="A254" s="1">
        <v>253.0</v>
      </c>
      <c r="B254" s="1" t="s">
        <v>83</v>
      </c>
      <c r="C254" s="1">
        <v>48.0</v>
      </c>
      <c r="D254" s="1" t="s">
        <v>23</v>
      </c>
      <c r="E254" s="1" t="s">
        <v>36</v>
      </c>
      <c r="F254" s="1" t="s">
        <v>49</v>
      </c>
      <c r="G254" s="1">
        <v>0.0</v>
      </c>
      <c r="H254" s="1">
        <v>79083.0</v>
      </c>
      <c r="I254" s="1" t="s">
        <v>51</v>
      </c>
      <c r="J254" s="1" t="s">
        <v>29</v>
      </c>
      <c r="K254" s="1" t="s">
        <v>26</v>
      </c>
      <c r="L254" s="1">
        <v>1.0</v>
      </c>
      <c r="M254" s="3">
        <v>46044.0</v>
      </c>
      <c r="N254" s="4">
        <f t="shared" si="1"/>
        <v>1</v>
      </c>
      <c r="O254" s="4">
        <f t="shared" si="2"/>
        <v>2026</v>
      </c>
    </row>
    <row r="255">
      <c r="A255" s="1">
        <v>254.0</v>
      </c>
      <c r="B255" s="1" t="s">
        <v>118</v>
      </c>
      <c r="C255" s="1">
        <v>36.0</v>
      </c>
      <c r="D255" s="1" t="s">
        <v>16</v>
      </c>
      <c r="E255" s="1" t="s">
        <v>42</v>
      </c>
      <c r="F255" s="1" t="s">
        <v>32</v>
      </c>
      <c r="G255" s="1">
        <v>12.0</v>
      </c>
      <c r="H255" s="1">
        <v>76299.0</v>
      </c>
      <c r="I255" s="1" t="s">
        <v>25</v>
      </c>
      <c r="J255" s="1" t="s">
        <v>29</v>
      </c>
      <c r="K255" s="1" t="s">
        <v>21</v>
      </c>
      <c r="L255" s="1">
        <v>4.0</v>
      </c>
      <c r="M255" s="3">
        <v>41919.0</v>
      </c>
      <c r="N255" s="4">
        <f t="shared" si="1"/>
        <v>10</v>
      </c>
      <c r="O255" s="4">
        <f t="shared" si="2"/>
        <v>2014</v>
      </c>
    </row>
    <row r="256">
      <c r="A256" s="1">
        <v>255.0</v>
      </c>
      <c r="B256" s="1" t="s">
        <v>119</v>
      </c>
      <c r="C256" s="1">
        <v>56.0</v>
      </c>
      <c r="D256" s="1" t="s">
        <v>16</v>
      </c>
      <c r="E256" s="1" t="s">
        <v>36</v>
      </c>
      <c r="F256" s="1" t="s">
        <v>49</v>
      </c>
      <c r="G256" s="1">
        <v>8.0</v>
      </c>
      <c r="H256" s="1">
        <v>89864.0</v>
      </c>
      <c r="I256" s="1" t="s">
        <v>19</v>
      </c>
      <c r="J256" s="1" t="s">
        <v>20</v>
      </c>
      <c r="K256" s="1" t="s">
        <v>26</v>
      </c>
      <c r="L256" s="1">
        <v>3.0</v>
      </c>
      <c r="M256" s="3">
        <v>43459.0</v>
      </c>
      <c r="N256" s="4">
        <f t="shared" si="1"/>
        <v>12</v>
      </c>
      <c r="O256" s="4">
        <f t="shared" si="2"/>
        <v>2018</v>
      </c>
    </row>
    <row r="257">
      <c r="A257" s="1">
        <v>256.0</v>
      </c>
      <c r="B257" s="1" t="s">
        <v>132</v>
      </c>
      <c r="C257" s="1">
        <v>57.0</v>
      </c>
      <c r="D257" s="1" t="s">
        <v>23</v>
      </c>
      <c r="E257" s="1" t="s">
        <v>28</v>
      </c>
      <c r="F257" s="1" t="s">
        <v>24</v>
      </c>
      <c r="G257" s="1">
        <v>15.0</v>
      </c>
      <c r="H257" s="1">
        <v>73110.0</v>
      </c>
      <c r="I257" s="1" t="s">
        <v>43</v>
      </c>
      <c r="J257" s="1" t="s">
        <v>20</v>
      </c>
      <c r="K257" s="1" t="s">
        <v>26</v>
      </c>
      <c r="L257" s="1">
        <v>3.0</v>
      </c>
      <c r="M257" s="3">
        <v>40579.0</v>
      </c>
      <c r="N257" s="4">
        <f t="shared" si="1"/>
        <v>2</v>
      </c>
      <c r="O257" s="4">
        <f t="shared" si="2"/>
        <v>2011</v>
      </c>
    </row>
    <row r="258">
      <c r="A258" s="1">
        <v>257.0</v>
      </c>
      <c r="B258" s="1" t="s">
        <v>62</v>
      </c>
      <c r="C258" s="1">
        <v>28.0</v>
      </c>
      <c r="D258" s="1" t="s">
        <v>23</v>
      </c>
      <c r="E258" s="1" t="s">
        <v>39</v>
      </c>
      <c r="F258" s="1" t="s">
        <v>18</v>
      </c>
      <c r="G258" s="1">
        <v>0.0</v>
      </c>
      <c r="H258" s="1">
        <v>55147.0</v>
      </c>
      <c r="I258" s="1" t="s">
        <v>51</v>
      </c>
      <c r="J258" s="1" t="s">
        <v>34</v>
      </c>
      <c r="K258" s="1" t="s">
        <v>26</v>
      </c>
      <c r="L258" s="1">
        <v>5.0</v>
      </c>
      <c r="M258" s="3">
        <v>46381.0</v>
      </c>
      <c r="N258" s="4">
        <f t="shared" si="1"/>
        <v>12</v>
      </c>
      <c r="O258" s="4">
        <f t="shared" si="2"/>
        <v>2026</v>
      </c>
    </row>
    <row r="259">
      <c r="A259" s="1">
        <v>258.0</v>
      </c>
      <c r="B259" s="1" t="s">
        <v>52</v>
      </c>
      <c r="C259" s="1">
        <v>27.0</v>
      </c>
      <c r="D259" s="1" t="s">
        <v>23</v>
      </c>
      <c r="E259" s="1" t="s">
        <v>17</v>
      </c>
      <c r="F259" s="1" t="s">
        <v>37</v>
      </c>
      <c r="G259" s="1">
        <v>5.0</v>
      </c>
      <c r="H259" s="1">
        <v>37938.0</v>
      </c>
      <c r="I259" s="1" t="s">
        <v>43</v>
      </c>
      <c r="J259" s="1" t="s">
        <v>20</v>
      </c>
      <c r="K259" s="1" t="s">
        <v>21</v>
      </c>
      <c r="L259" s="1">
        <v>4.0</v>
      </c>
      <c r="M259" s="3">
        <v>44342.0</v>
      </c>
      <c r="N259" s="4">
        <f t="shared" si="1"/>
        <v>5</v>
      </c>
      <c r="O259" s="4">
        <f t="shared" si="2"/>
        <v>2021</v>
      </c>
    </row>
    <row r="260">
      <c r="A260" s="1">
        <v>259.0</v>
      </c>
      <c r="B260" s="1" t="s">
        <v>101</v>
      </c>
      <c r="C260" s="1">
        <v>44.0</v>
      </c>
      <c r="D260" s="1" t="s">
        <v>16</v>
      </c>
      <c r="E260" s="1" t="s">
        <v>31</v>
      </c>
      <c r="F260" s="1" t="s">
        <v>49</v>
      </c>
      <c r="G260" s="1">
        <v>6.0</v>
      </c>
      <c r="H260" s="1">
        <v>112261.0</v>
      </c>
      <c r="I260" s="1" t="s">
        <v>51</v>
      </c>
      <c r="J260" s="1" t="s">
        <v>20</v>
      </c>
      <c r="K260" s="1" t="s">
        <v>26</v>
      </c>
      <c r="L260" s="1">
        <v>3.0</v>
      </c>
      <c r="M260" s="3">
        <v>44053.0</v>
      </c>
      <c r="N260" s="4">
        <f t="shared" si="1"/>
        <v>8</v>
      </c>
      <c r="O260" s="4">
        <f t="shared" si="2"/>
        <v>2020</v>
      </c>
    </row>
    <row r="261">
      <c r="A261" s="1">
        <v>260.0</v>
      </c>
      <c r="B261" s="1" t="s">
        <v>77</v>
      </c>
      <c r="C261" s="1">
        <v>42.0</v>
      </c>
      <c r="D261" s="1" t="s">
        <v>16</v>
      </c>
      <c r="E261" s="1" t="s">
        <v>17</v>
      </c>
      <c r="F261" s="1" t="s">
        <v>24</v>
      </c>
      <c r="G261" s="1">
        <v>4.0</v>
      </c>
      <c r="H261" s="1">
        <v>66740.0</v>
      </c>
      <c r="I261" s="1" t="s">
        <v>33</v>
      </c>
      <c r="J261" s="1" t="s">
        <v>20</v>
      </c>
      <c r="K261" s="1" t="s">
        <v>21</v>
      </c>
      <c r="L261" s="1">
        <v>1.0</v>
      </c>
      <c r="M261" s="3">
        <v>44708.0</v>
      </c>
      <c r="N261" s="4">
        <f t="shared" si="1"/>
        <v>5</v>
      </c>
      <c r="O261" s="4">
        <f t="shared" si="2"/>
        <v>2022</v>
      </c>
    </row>
    <row r="262">
      <c r="A262" s="1">
        <v>261.0</v>
      </c>
      <c r="B262" s="1" t="s">
        <v>35</v>
      </c>
      <c r="C262" s="1">
        <v>55.0</v>
      </c>
      <c r="D262" s="1" t="s">
        <v>16</v>
      </c>
      <c r="E262" s="1" t="s">
        <v>28</v>
      </c>
      <c r="F262" s="1" t="s">
        <v>18</v>
      </c>
      <c r="G262" s="1">
        <v>11.0</v>
      </c>
      <c r="H262" s="1">
        <v>23248.0</v>
      </c>
      <c r="I262" s="1" t="s">
        <v>38</v>
      </c>
      <c r="J262" s="1" t="s">
        <v>29</v>
      </c>
      <c r="K262" s="1" t="s">
        <v>21</v>
      </c>
      <c r="L262" s="1">
        <v>2.0</v>
      </c>
      <c r="M262" s="3">
        <v>42029.0</v>
      </c>
      <c r="N262" s="4">
        <f t="shared" si="1"/>
        <v>1</v>
      </c>
      <c r="O262" s="4">
        <f t="shared" si="2"/>
        <v>2015</v>
      </c>
    </row>
    <row r="263">
      <c r="A263" s="1">
        <v>262.0</v>
      </c>
      <c r="B263" s="1" t="s">
        <v>71</v>
      </c>
      <c r="C263" s="1">
        <v>35.0</v>
      </c>
      <c r="D263" s="1" t="s">
        <v>16</v>
      </c>
      <c r="E263" s="1" t="s">
        <v>28</v>
      </c>
      <c r="F263" s="1" t="s">
        <v>37</v>
      </c>
      <c r="G263" s="1">
        <v>9.0</v>
      </c>
      <c r="H263" s="1">
        <v>100334.0</v>
      </c>
      <c r="I263" s="1" t="s">
        <v>25</v>
      </c>
      <c r="J263" s="1" t="s">
        <v>29</v>
      </c>
      <c r="K263" s="1" t="s">
        <v>26</v>
      </c>
      <c r="L263" s="1">
        <v>5.0</v>
      </c>
      <c r="M263" s="3">
        <v>42943.0</v>
      </c>
      <c r="N263" s="4">
        <f t="shared" si="1"/>
        <v>7</v>
      </c>
      <c r="O263" s="4">
        <f t="shared" si="2"/>
        <v>2017</v>
      </c>
    </row>
    <row r="264">
      <c r="A264" s="1">
        <v>263.0</v>
      </c>
      <c r="B264" s="1" t="s">
        <v>27</v>
      </c>
      <c r="C264" s="1">
        <v>47.0</v>
      </c>
      <c r="D264" s="1" t="s">
        <v>23</v>
      </c>
      <c r="E264" s="1" t="s">
        <v>28</v>
      </c>
      <c r="F264" s="1" t="s">
        <v>24</v>
      </c>
      <c r="G264" s="1">
        <v>10.0</v>
      </c>
      <c r="H264" s="1">
        <v>115195.0</v>
      </c>
      <c r="I264" s="1" t="s">
        <v>25</v>
      </c>
      <c r="J264" s="1" t="s">
        <v>20</v>
      </c>
      <c r="K264" s="1" t="s">
        <v>21</v>
      </c>
      <c r="L264" s="1">
        <v>1.0</v>
      </c>
      <c r="M264" s="3">
        <v>42514.0</v>
      </c>
      <c r="N264" s="4">
        <f t="shared" si="1"/>
        <v>5</v>
      </c>
      <c r="O264" s="4">
        <f t="shared" si="2"/>
        <v>2016</v>
      </c>
    </row>
    <row r="265">
      <c r="A265" s="1">
        <v>264.0</v>
      </c>
      <c r="B265" s="1" t="s">
        <v>56</v>
      </c>
      <c r="C265" s="1">
        <v>48.0</v>
      </c>
      <c r="D265" s="1" t="s">
        <v>23</v>
      </c>
      <c r="E265" s="1" t="s">
        <v>39</v>
      </c>
      <c r="F265" s="1" t="s">
        <v>49</v>
      </c>
      <c r="G265" s="1">
        <v>14.0</v>
      </c>
      <c r="H265" s="1">
        <v>69989.0</v>
      </c>
      <c r="I265" s="1" t="s">
        <v>33</v>
      </c>
      <c r="J265" s="1" t="s">
        <v>34</v>
      </c>
      <c r="K265" s="1" t="s">
        <v>21</v>
      </c>
      <c r="L265" s="1">
        <v>1.0</v>
      </c>
      <c r="M265" s="3">
        <v>40916.0</v>
      </c>
      <c r="N265" s="4">
        <f t="shared" si="1"/>
        <v>1</v>
      </c>
      <c r="O265" s="4">
        <f t="shared" si="2"/>
        <v>2012</v>
      </c>
    </row>
    <row r="266">
      <c r="A266" s="1">
        <v>265.0</v>
      </c>
      <c r="B266" s="1" t="s">
        <v>115</v>
      </c>
      <c r="C266" s="1">
        <v>22.0</v>
      </c>
      <c r="D266" s="1" t="s">
        <v>23</v>
      </c>
      <c r="E266" s="1" t="s">
        <v>36</v>
      </c>
      <c r="F266" s="1" t="s">
        <v>37</v>
      </c>
      <c r="G266" s="1">
        <v>14.0</v>
      </c>
      <c r="H266" s="1">
        <v>98272.0</v>
      </c>
      <c r="I266" s="1" t="s">
        <v>51</v>
      </c>
      <c r="J266" s="1" t="s">
        <v>29</v>
      </c>
      <c r="K266" s="1" t="s">
        <v>26</v>
      </c>
      <c r="L266" s="1">
        <v>3.0</v>
      </c>
      <c r="M266" s="3">
        <v>41263.0</v>
      </c>
      <c r="N266" s="4">
        <f t="shared" si="1"/>
        <v>12</v>
      </c>
      <c r="O266" s="4">
        <f t="shared" si="2"/>
        <v>2012</v>
      </c>
    </row>
    <row r="267">
      <c r="A267" s="1">
        <v>266.0</v>
      </c>
      <c r="B267" s="1" t="s">
        <v>90</v>
      </c>
      <c r="C267" s="1">
        <v>31.0</v>
      </c>
      <c r="D267" s="1" t="s">
        <v>16</v>
      </c>
      <c r="E267" s="1" t="s">
        <v>28</v>
      </c>
      <c r="F267" s="1" t="s">
        <v>18</v>
      </c>
      <c r="G267" s="1">
        <v>13.0</v>
      </c>
      <c r="H267" s="1">
        <v>75306.0</v>
      </c>
      <c r="I267" s="1" t="s">
        <v>33</v>
      </c>
      <c r="J267" s="1" t="s">
        <v>20</v>
      </c>
      <c r="K267" s="1" t="s">
        <v>21</v>
      </c>
      <c r="L267" s="1">
        <v>3.0</v>
      </c>
      <c r="M267" s="3">
        <v>41339.0</v>
      </c>
      <c r="N267" s="4">
        <f t="shared" si="1"/>
        <v>3</v>
      </c>
      <c r="O267" s="4">
        <f t="shared" si="2"/>
        <v>2013</v>
      </c>
    </row>
    <row r="268">
      <c r="A268" s="1">
        <v>267.0</v>
      </c>
      <c r="B268" s="1" t="s">
        <v>83</v>
      </c>
      <c r="C268" s="1">
        <v>54.0</v>
      </c>
      <c r="D268" s="1" t="s">
        <v>16</v>
      </c>
      <c r="E268" s="1" t="s">
        <v>28</v>
      </c>
      <c r="F268" s="1" t="s">
        <v>37</v>
      </c>
      <c r="G268" s="1">
        <v>10.0</v>
      </c>
      <c r="H268" s="1">
        <v>92542.0</v>
      </c>
      <c r="I268" s="1" t="s">
        <v>38</v>
      </c>
      <c r="J268" s="1" t="s">
        <v>29</v>
      </c>
      <c r="K268" s="1" t="s">
        <v>26</v>
      </c>
      <c r="L268" s="1">
        <v>4.0</v>
      </c>
      <c r="M268" s="3">
        <v>42730.0</v>
      </c>
      <c r="N268" s="4">
        <f t="shared" si="1"/>
        <v>12</v>
      </c>
      <c r="O268" s="4">
        <f t="shared" si="2"/>
        <v>2016</v>
      </c>
    </row>
    <row r="269">
      <c r="A269" s="1">
        <v>268.0</v>
      </c>
      <c r="B269" s="1" t="s">
        <v>112</v>
      </c>
      <c r="C269" s="1">
        <v>35.0</v>
      </c>
      <c r="D269" s="1" t="s">
        <v>16</v>
      </c>
      <c r="E269" s="1" t="s">
        <v>39</v>
      </c>
      <c r="F269" s="1" t="s">
        <v>32</v>
      </c>
      <c r="G269" s="1">
        <v>14.0</v>
      </c>
      <c r="H269" s="1">
        <v>50108.0</v>
      </c>
      <c r="I269" s="1" t="s">
        <v>38</v>
      </c>
      <c r="J269" s="1" t="s">
        <v>20</v>
      </c>
      <c r="K269" s="1" t="s">
        <v>21</v>
      </c>
      <c r="L269" s="1">
        <v>2.0</v>
      </c>
      <c r="M269" s="3">
        <v>40987.0</v>
      </c>
      <c r="N269" s="4">
        <f t="shared" si="1"/>
        <v>3</v>
      </c>
      <c r="O269" s="4">
        <f t="shared" si="2"/>
        <v>2012</v>
      </c>
    </row>
    <row r="270">
      <c r="A270" s="1">
        <v>269.0</v>
      </c>
      <c r="B270" s="1" t="s">
        <v>48</v>
      </c>
      <c r="C270" s="1">
        <v>25.0</v>
      </c>
      <c r="D270" s="1" t="s">
        <v>23</v>
      </c>
      <c r="E270" s="1" t="s">
        <v>36</v>
      </c>
      <c r="F270" s="1" t="s">
        <v>32</v>
      </c>
      <c r="G270" s="1">
        <v>7.0</v>
      </c>
      <c r="H270" s="1">
        <v>109746.0</v>
      </c>
      <c r="I270" s="1" t="s">
        <v>38</v>
      </c>
      <c r="J270" s="1" t="s">
        <v>20</v>
      </c>
      <c r="K270" s="1" t="s">
        <v>21</v>
      </c>
      <c r="L270" s="1">
        <v>4.0</v>
      </c>
      <c r="M270" s="3">
        <v>43714.0</v>
      </c>
      <c r="N270" s="4">
        <f t="shared" si="1"/>
        <v>9</v>
      </c>
      <c r="O270" s="4">
        <f t="shared" si="2"/>
        <v>2019</v>
      </c>
    </row>
    <row r="271">
      <c r="A271" s="1">
        <v>270.0</v>
      </c>
      <c r="B271" s="1" t="s">
        <v>72</v>
      </c>
      <c r="C271" s="1">
        <v>55.0</v>
      </c>
      <c r="D271" s="1" t="s">
        <v>23</v>
      </c>
      <c r="E271" s="1" t="s">
        <v>28</v>
      </c>
      <c r="F271" s="1" t="s">
        <v>24</v>
      </c>
      <c r="G271" s="1">
        <v>1.0</v>
      </c>
      <c r="H271" s="1">
        <v>107091.0</v>
      </c>
      <c r="I271" s="1" t="s">
        <v>43</v>
      </c>
      <c r="J271" s="1" t="s">
        <v>20</v>
      </c>
      <c r="K271" s="1" t="s">
        <v>21</v>
      </c>
      <c r="L271" s="1">
        <v>3.0</v>
      </c>
      <c r="M271" s="3">
        <v>45681.0</v>
      </c>
      <c r="N271" s="4">
        <f t="shared" si="1"/>
        <v>1</v>
      </c>
      <c r="O271" s="4">
        <f t="shared" si="2"/>
        <v>2025</v>
      </c>
    </row>
    <row r="272">
      <c r="A272" s="1">
        <v>271.0</v>
      </c>
      <c r="B272" s="1" t="s">
        <v>107</v>
      </c>
      <c r="C272" s="1">
        <v>49.0</v>
      </c>
      <c r="D272" s="1" t="s">
        <v>23</v>
      </c>
      <c r="E272" s="1" t="s">
        <v>42</v>
      </c>
      <c r="F272" s="1" t="s">
        <v>18</v>
      </c>
      <c r="G272" s="1">
        <v>15.0</v>
      </c>
      <c r="H272" s="1">
        <v>51550.0</v>
      </c>
      <c r="I272" s="1" t="s">
        <v>19</v>
      </c>
      <c r="J272" s="1" t="s">
        <v>29</v>
      </c>
      <c r="K272" s="1" t="s">
        <v>21</v>
      </c>
      <c r="L272" s="1">
        <v>1.0</v>
      </c>
      <c r="M272" s="3">
        <v>40879.0</v>
      </c>
      <c r="N272" s="4">
        <f t="shared" si="1"/>
        <v>12</v>
      </c>
      <c r="O272" s="4">
        <f t="shared" si="2"/>
        <v>2011</v>
      </c>
    </row>
    <row r="273">
      <c r="A273" s="1">
        <v>272.0</v>
      </c>
      <c r="B273" s="1" t="s">
        <v>132</v>
      </c>
      <c r="C273" s="1">
        <v>41.0</v>
      </c>
      <c r="D273" s="1" t="s">
        <v>23</v>
      </c>
      <c r="E273" s="1" t="s">
        <v>31</v>
      </c>
      <c r="F273" s="1" t="s">
        <v>37</v>
      </c>
      <c r="G273" s="1">
        <v>14.0</v>
      </c>
      <c r="H273" s="1">
        <v>32423.0</v>
      </c>
      <c r="I273" s="1" t="s">
        <v>43</v>
      </c>
      <c r="J273" s="1" t="s">
        <v>34</v>
      </c>
      <c r="K273" s="1" t="s">
        <v>21</v>
      </c>
      <c r="L273" s="1">
        <v>1.0</v>
      </c>
      <c r="M273" s="3">
        <v>41270.0</v>
      </c>
      <c r="N273" s="4">
        <f t="shared" si="1"/>
        <v>12</v>
      </c>
      <c r="O273" s="4">
        <f t="shared" si="2"/>
        <v>2012</v>
      </c>
    </row>
    <row r="274">
      <c r="A274" s="1">
        <v>273.0</v>
      </c>
      <c r="B274" s="1" t="s">
        <v>110</v>
      </c>
      <c r="C274" s="1">
        <v>28.0</v>
      </c>
      <c r="D274" s="1" t="s">
        <v>16</v>
      </c>
      <c r="E274" s="1" t="s">
        <v>39</v>
      </c>
      <c r="F274" s="1" t="s">
        <v>49</v>
      </c>
      <c r="G274" s="1">
        <v>3.0</v>
      </c>
      <c r="H274" s="1">
        <v>104538.0</v>
      </c>
      <c r="I274" s="1" t="s">
        <v>43</v>
      </c>
      <c r="J274" s="1" t="s">
        <v>29</v>
      </c>
      <c r="K274" s="1" t="s">
        <v>21</v>
      </c>
      <c r="L274" s="1">
        <v>3.0</v>
      </c>
      <c r="M274" s="3">
        <v>45073.0</v>
      </c>
      <c r="N274" s="4">
        <f t="shared" si="1"/>
        <v>5</v>
      </c>
      <c r="O274" s="4">
        <f t="shared" si="2"/>
        <v>2023</v>
      </c>
    </row>
    <row r="275">
      <c r="A275" s="1">
        <v>274.0</v>
      </c>
      <c r="B275" s="1" t="s">
        <v>22</v>
      </c>
      <c r="C275" s="1">
        <v>46.0</v>
      </c>
      <c r="D275" s="1" t="s">
        <v>23</v>
      </c>
      <c r="E275" s="1" t="s">
        <v>28</v>
      </c>
      <c r="F275" s="1" t="s">
        <v>49</v>
      </c>
      <c r="G275" s="1">
        <v>3.0</v>
      </c>
      <c r="H275" s="1">
        <v>51515.0</v>
      </c>
      <c r="I275" s="1" t="s">
        <v>51</v>
      </c>
      <c r="J275" s="1" t="s">
        <v>20</v>
      </c>
      <c r="K275" s="1" t="s">
        <v>21</v>
      </c>
      <c r="L275" s="1">
        <v>1.0</v>
      </c>
      <c r="M275" s="3">
        <v>45105.0</v>
      </c>
      <c r="N275" s="4">
        <f t="shared" si="1"/>
        <v>6</v>
      </c>
      <c r="O275" s="4">
        <f t="shared" si="2"/>
        <v>2023</v>
      </c>
    </row>
    <row r="276">
      <c r="A276" s="1">
        <v>275.0</v>
      </c>
      <c r="B276" s="1" t="s">
        <v>100</v>
      </c>
      <c r="C276" s="1">
        <v>22.0</v>
      </c>
      <c r="D276" s="1" t="s">
        <v>16</v>
      </c>
      <c r="E276" s="1" t="s">
        <v>31</v>
      </c>
      <c r="F276" s="1" t="s">
        <v>24</v>
      </c>
      <c r="G276" s="1">
        <v>4.0</v>
      </c>
      <c r="H276" s="1">
        <v>62907.0</v>
      </c>
      <c r="I276" s="1" t="s">
        <v>51</v>
      </c>
      <c r="J276" s="1" t="s">
        <v>34</v>
      </c>
      <c r="K276" s="1" t="s">
        <v>21</v>
      </c>
      <c r="L276" s="1">
        <v>4.0</v>
      </c>
      <c r="M276" s="3">
        <v>44708.0</v>
      </c>
      <c r="N276" s="4">
        <f t="shared" si="1"/>
        <v>5</v>
      </c>
      <c r="O276" s="4">
        <f t="shared" si="2"/>
        <v>2022</v>
      </c>
    </row>
    <row r="277">
      <c r="A277" s="1">
        <v>276.0</v>
      </c>
      <c r="B277" s="1" t="s">
        <v>92</v>
      </c>
      <c r="C277" s="1">
        <v>58.0</v>
      </c>
      <c r="D277" s="1" t="s">
        <v>16</v>
      </c>
      <c r="E277" s="1" t="s">
        <v>28</v>
      </c>
      <c r="F277" s="1" t="s">
        <v>49</v>
      </c>
      <c r="G277" s="1">
        <v>15.0</v>
      </c>
      <c r="H277" s="1">
        <v>84824.0</v>
      </c>
      <c r="I277" s="1" t="s">
        <v>51</v>
      </c>
      <c r="J277" s="1" t="s">
        <v>34</v>
      </c>
      <c r="K277" s="1" t="s">
        <v>21</v>
      </c>
      <c r="L277" s="1">
        <v>2.0</v>
      </c>
      <c r="M277" s="3">
        <v>40562.0</v>
      </c>
      <c r="N277" s="4">
        <f t="shared" si="1"/>
        <v>1</v>
      </c>
      <c r="O277" s="4">
        <f t="shared" si="2"/>
        <v>2011</v>
      </c>
    </row>
    <row r="278">
      <c r="A278" s="1">
        <v>277.0</v>
      </c>
      <c r="B278" s="1" t="s">
        <v>52</v>
      </c>
      <c r="C278" s="1">
        <v>38.0</v>
      </c>
      <c r="D278" s="1" t="s">
        <v>16</v>
      </c>
      <c r="E278" s="1" t="s">
        <v>39</v>
      </c>
      <c r="F278" s="1" t="s">
        <v>24</v>
      </c>
      <c r="G278" s="1">
        <v>8.0</v>
      </c>
      <c r="H278" s="1">
        <v>56657.0</v>
      </c>
      <c r="I278" s="1" t="s">
        <v>25</v>
      </c>
      <c r="J278" s="1" t="s">
        <v>20</v>
      </c>
      <c r="K278" s="1" t="s">
        <v>26</v>
      </c>
      <c r="L278" s="1">
        <v>3.0</v>
      </c>
      <c r="M278" s="3">
        <v>43454.0</v>
      </c>
      <c r="N278" s="4">
        <f t="shared" si="1"/>
        <v>12</v>
      </c>
      <c r="O278" s="4">
        <f t="shared" si="2"/>
        <v>2018</v>
      </c>
    </row>
    <row r="279">
      <c r="A279" s="1">
        <v>278.0</v>
      </c>
      <c r="B279" s="1" t="s">
        <v>59</v>
      </c>
      <c r="C279" s="1">
        <v>40.0</v>
      </c>
      <c r="D279" s="1" t="s">
        <v>16</v>
      </c>
      <c r="E279" s="1" t="s">
        <v>28</v>
      </c>
      <c r="F279" s="1" t="s">
        <v>37</v>
      </c>
      <c r="G279" s="1">
        <v>10.0</v>
      </c>
      <c r="H279" s="1">
        <v>34796.0</v>
      </c>
      <c r="I279" s="1" t="s">
        <v>25</v>
      </c>
      <c r="J279" s="1" t="s">
        <v>29</v>
      </c>
      <c r="K279" s="1" t="s">
        <v>21</v>
      </c>
      <c r="L279" s="1">
        <v>2.0</v>
      </c>
      <c r="M279" s="3">
        <v>42726.0</v>
      </c>
      <c r="N279" s="4">
        <f t="shared" si="1"/>
        <v>12</v>
      </c>
      <c r="O279" s="4">
        <f t="shared" si="2"/>
        <v>2016</v>
      </c>
    </row>
    <row r="280">
      <c r="A280" s="1">
        <v>279.0</v>
      </c>
      <c r="B280" s="1" t="s">
        <v>68</v>
      </c>
      <c r="C280" s="1">
        <v>29.0</v>
      </c>
      <c r="D280" s="1" t="s">
        <v>23</v>
      </c>
      <c r="E280" s="1" t="s">
        <v>39</v>
      </c>
      <c r="F280" s="1" t="s">
        <v>24</v>
      </c>
      <c r="G280" s="1">
        <v>14.0</v>
      </c>
      <c r="H280" s="1">
        <v>81446.0</v>
      </c>
      <c r="I280" s="1" t="s">
        <v>38</v>
      </c>
      <c r="J280" s="1" t="s">
        <v>34</v>
      </c>
      <c r="K280" s="1" t="s">
        <v>26</v>
      </c>
      <c r="L280" s="1">
        <v>2.0</v>
      </c>
      <c r="M280" s="3">
        <v>41009.0</v>
      </c>
      <c r="N280" s="4">
        <f t="shared" si="1"/>
        <v>4</v>
      </c>
      <c r="O280" s="4">
        <f t="shared" si="2"/>
        <v>2012</v>
      </c>
    </row>
    <row r="281">
      <c r="A281" s="1">
        <v>280.0</v>
      </c>
      <c r="B281" s="1" t="s">
        <v>104</v>
      </c>
      <c r="C281" s="1">
        <v>33.0</v>
      </c>
      <c r="D281" s="1" t="s">
        <v>16</v>
      </c>
      <c r="E281" s="1" t="s">
        <v>42</v>
      </c>
      <c r="F281" s="1" t="s">
        <v>24</v>
      </c>
      <c r="G281" s="1">
        <v>4.0</v>
      </c>
      <c r="H281" s="1">
        <v>92923.0</v>
      </c>
      <c r="I281" s="1" t="s">
        <v>25</v>
      </c>
      <c r="J281" s="1" t="s">
        <v>20</v>
      </c>
      <c r="K281" s="1" t="s">
        <v>21</v>
      </c>
      <c r="L281" s="1">
        <v>5.0</v>
      </c>
      <c r="M281" s="3">
        <v>44876.0</v>
      </c>
      <c r="N281" s="4">
        <f t="shared" si="1"/>
        <v>11</v>
      </c>
      <c r="O281" s="4">
        <f t="shared" si="2"/>
        <v>2022</v>
      </c>
    </row>
    <row r="282">
      <c r="A282" s="1">
        <v>281.0</v>
      </c>
      <c r="B282" s="1" t="s">
        <v>48</v>
      </c>
      <c r="C282" s="1">
        <v>32.0</v>
      </c>
      <c r="D282" s="1" t="s">
        <v>16</v>
      </c>
      <c r="E282" s="1" t="s">
        <v>36</v>
      </c>
      <c r="F282" s="1" t="s">
        <v>18</v>
      </c>
      <c r="G282" s="1">
        <v>6.0</v>
      </c>
      <c r="H282" s="1">
        <v>95253.0</v>
      </c>
      <c r="I282" s="1" t="s">
        <v>43</v>
      </c>
      <c r="J282" s="1" t="s">
        <v>34</v>
      </c>
      <c r="K282" s="1" t="s">
        <v>21</v>
      </c>
      <c r="L282" s="1">
        <v>2.0</v>
      </c>
      <c r="M282" s="3">
        <v>44017.0</v>
      </c>
      <c r="N282" s="4">
        <f t="shared" si="1"/>
        <v>7</v>
      </c>
      <c r="O282" s="4">
        <f t="shared" si="2"/>
        <v>2020</v>
      </c>
    </row>
    <row r="283">
      <c r="A283" s="1">
        <v>282.0</v>
      </c>
      <c r="B283" s="1" t="s">
        <v>44</v>
      </c>
      <c r="C283" s="1">
        <v>48.0</v>
      </c>
      <c r="D283" s="1" t="s">
        <v>23</v>
      </c>
      <c r="E283" s="1" t="s">
        <v>31</v>
      </c>
      <c r="F283" s="1" t="s">
        <v>37</v>
      </c>
      <c r="G283" s="1">
        <v>3.0</v>
      </c>
      <c r="H283" s="1">
        <v>47361.0</v>
      </c>
      <c r="I283" s="1" t="s">
        <v>25</v>
      </c>
      <c r="J283" s="1" t="s">
        <v>34</v>
      </c>
      <c r="K283" s="1" t="s">
        <v>21</v>
      </c>
      <c r="L283" s="1">
        <v>4.0</v>
      </c>
      <c r="M283" s="3">
        <v>45164.0</v>
      </c>
      <c r="N283" s="4">
        <f t="shared" si="1"/>
        <v>8</v>
      </c>
      <c r="O283" s="4">
        <f t="shared" si="2"/>
        <v>2023</v>
      </c>
    </row>
    <row r="284">
      <c r="A284" s="1">
        <v>283.0</v>
      </c>
      <c r="B284" s="1" t="s">
        <v>133</v>
      </c>
      <c r="C284" s="1">
        <v>29.0</v>
      </c>
      <c r="D284" s="1" t="s">
        <v>23</v>
      </c>
      <c r="E284" s="1" t="s">
        <v>42</v>
      </c>
      <c r="F284" s="1" t="s">
        <v>37</v>
      </c>
      <c r="G284" s="1">
        <v>8.0</v>
      </c>
      <c r="H284" s="1">
        <v>99091.0</v>
      </c>
      <c r="I284" s="1" t="s">
        <v>38</v>
      </c>
      <c r="J284" s="1" t="s">
        <v>34</v>
      </c>
      <c r="K284" s="1" t="s">
        <v>21</v>
      </c>
      <c r="L284" s="1">
        <v>5.0</v>
      </c>
      <c r="M284" s="3">
        <v>43201.0</v>
      </c>
      <c r="N284" s="4">
        <f t="shared" si="1"/>
        <v>4</v>
      </c>
      <c r="O284" s="4">
        <f t="shared" si="2"/>
        <v>2018</v>
      </c>
    </row>
    <row r="285">
      <c r="A285" s="1">
        <v>284.0</v>
      </c>
      <c r="B285" s="1" t="s">
        <v>101</v>
      </c>
      <c r="C285" s="1">
        <v>49.0</v>
      </c>
      <c r="D285" s="1" t="s">
        <v>16</v>
      </c>
      <c r="E285" s="1" t="s">
        <v>28</v>
      </c>
      <c r="F285" s="1" t="s">
        <v>24</v>
      </c>
      <c r="G285" s="1">
        <v>13.0</v>
      </c>
      <c r="H285" s="1">
        <v>49902.0</v>
      </c>
      <c r="I285" s="1" t="s">
        <v>51</v>
      </c>
      <c r="J285" s="1" t="s">
        <v>20</v>
      </c>
      <c r="K285" s="1" t="s">
        <v>26</v>
      </c>
      <c r="L285" s="1">
        <v>4.0</v>
      </c>
      <c r="M285" s="3">
        <v>41450.0</v>
      </c>
      <c r="N285" s="4">
        <f t="shared" si="1"/>
        <v>6</v>
      </c>
      <c r="O285" s="4">
        <f t="shared" si="2"/>
        <v>2013</v>
      </c>
    </row>
    <row r="286">
      <c r="A286" s="1">
        <v>285.0</v>
      </c>
      <c r="B286" s="1" t="s">
        <v>68</v>
      </c>
      <c r="C286" s="1">
        <v>54.0</v>
      </c>
      <c r="D286" s="1" t="s">
        <v>16</v>
      </c>
      <c r="E286" s="1" t="s">
        <v>36</v>
      </c>
      <c r="F286" s="1" t="s">
        <v>49</v>
      </c>
      <c r="G286" s="1">
        <v>6.0</v>
      </c>
      <c r="H286" s="1">
        <v>84400.0</v>
      </c>
      <c r="I286" s="1" t="s">
        <v>38</v>
      </c>
      <c r="J286" s="1" t="s">
        <v>20</v>
      </c>
      <c r="K286" s="1" t="s">
        <v>26</v>
      </c>
      <c r="L286" s="1">
        <v>4.0</v>
      </c>
      <c r="M286" s="3">
        <v>43913.0</v>
      </c>
      <c r="N286" s="4">
        <f t="shared" si="1"/>
        <v>3</v>
      </c>
      <c r="O286" s="4">
        <f t="shared" si="2"/>
        <v>2020</v>
      </c>
    </row>
    <row r="287">
      <c r="A287" s="1">
        <v>286.0</v>
      </c>
      <c r="B287" s="1" t="s">
        <v>134</v>
      </c>
      <c r="C287" s="1">
        <v>49.0</v>
      </c>
      <c r="D287" s="1" t="s">
        <v>16</v>
      </c>
      <c r="E287" s="1" t="s">
        <v>28</v>
      </c>
      <c r="F287" s="1" t="s">
        <v>37</v>
      </c>
      <c r="G287" s="1">
        <v>6.0</v>
      </c>
      <c r="H287" s="1">
        <v>100495.0</v>
      </c>
      <c r="I287" s="1" t="s">
        <v>51</v>
      </c>
      <c r="J287" s="1" t="s">
        <v>20</v>
      </c>
      <c r="K287" s="1" t="s">
        <v>26</v>
      </c>
      <c r="L287" s="1">
        <v>2.0</v>
      </c>
      <c r="M287" s="3">
        <v>43988.0</v>
      </c>
      <c r="N287" s="4">
        <f t="shared" si="1"/>
        <v>6</v>
      </c>
      <c r="O287" s="4">
        <f t="shared" si="2"/>
        <v>2020</v>
      </c>
    </row>
    <row r="288">
      <c r="A288" s="1">
        <v>287.0</v>
      </c>
      <c r="B288" s="1" t="s">
        <v>94</v>
      </c>
      <c r="C288" s="1">
        <v>30.0</v>
      </c>
      <c r="D288" s="1" t="s">
        <v>23</v>
      </c>
      <c r="E288" s="1" t="s">
        <v>28</v>
      </c>
      <c r="F288" s="1" t="s">
        <v>18</v>
      </c>
      <c r="G288" s="1">
        <v>13.0</v>
      </c>
      <c r="H288" s="1">
        <v>81127.0</v>
      </c>
      <c r="I288" s="1" t="s">
        <v>19</v>
      </c>
      <c r="J288" s="1" t="s">
        <v>20</v>
      </c>
      <c r="K288" s="1" t="s">
        <v>26</v>
      </c>
      <c r="L288" s="1">
        <v>3.0</v>
      </c>
      <c r="M288" s="3">
        <v>41586.0</v>
      </c>
      <c r="N288" s="4">
        <f t="shared" si="1"/>
        <v>11</v>
      </c>
      <c r="O288" s="4">
        <f t="shared" si="2"/>
        <v>2013</v>
      </c>
    </row>
    <row r="289">
      <c r="A289" s="1">
        <v>288.0</v>
      </c>
      <c r="B289" s="1" t="s">
        <v>127</v>
      </c>
      <c r="C289" s="1">
        <v>23.0</v>
      </c>
      <c r="D289" s="1" t="s">
        <v>23</v>
      </c>
      <c r="E289" s="1" t="s">
        <v>42</v>
      </c>
      <c r="F289" s="1" t="s">
        <v>32</v>
      </c>
      <c r="G289" s="1">
        <v>12.0</v>
      </c>
      <c r="H289" s="1">
        <v>110544.0</v>
      </c>
      <c r="I289" s="1" t="s">
        <v>25</v>
      </c>
      <c r="J289" s="1" t="s">
        <v>20</v>
      </c>
      <c r="K289" s="1" t="s">
        <v>26</v>
      </c>
      <c r="L289" s="1">
        <v>1.0</v>
      </c>
      <c r="M289" s="3">
        <v>41699.0</v>
      </c>
      <c r="N289" s="4">
        <f t="shared" si="1"/>
        <v>3</v>
      </c>
      <c r="O289" s="4">
        <f t="shared" si="2"/>
        <v>2014</v>
      </c>
    </row>
    <row r="290">
      <c r="A290" s="1">
        <v>289.0</v>
      </c>
      <c r="B290" s="1" t="s">
        <v>135</v>
      </c>
      <c r="C290" s="1">
        <v>49.0</v>
      </c>
      <c r="D290" s="1" t="s">
        <v>16</v>
      </c>
      <c r="E290" s="1" t="s">
        <v>36</v>
      </c>
      <c r="F290" s="1" t="s">
        <v>49</v>
      </c>
      <c r="G290" s="1">
        <v>0.0</v>
      </c>
      <c r="H290" s="1">
        <v>109191.0</v>
      </c>
      <c r="I290" s="1" t="s">
        <v>19</v>
      </c>
      <c r="J290" s="1" t="s">
        <v>34</v>
      </c>
      <c r="K290" s="1" t="s">
        <v>21</v>
      </c>
      <c r="L290" s="1">
        <v>1.0</v>
      </c>
      <c r="M290" s="3">
        <v>46259.0</v>
      </c>
      <c r="N290" s="4">
        <f t="shared" si="1"/>
        <v>8</v>
      </c>
      <c r="O290" s="4">
        <f t="shared" si="2"/>
        <v>2026</v>
      </c>
    </row>
    <row r="291">
      <c r="A291" s="1">
        <v>290.0</v>
      </c>
      <c r="B291" s="1" t="s">
        <v>98</v>
      </c>
      <c r="C291" s="1">
        <v>43.0</v>
      </c>
      <c r="D291" s="1" t="s">
        <v>16</v>
      </c>
      <c r="E291" s="1" t="s">
        <v>17</v>
      </c>
      <c r="F291" s="1" t="s">
        <v>37</v>
      </c>
      <c r="G291" s="1">
        <v>8.0</v>
      </c>
      <c r="H291" s="1">
        <v>27409.0</v>
      </c>
      <c r="I291" s="1" t="s">
        <v>33</v>
      </c>
      <c r="J291" s="1" t="s">
        <v>29</v>
      </c>
      <c r="K291" s="1" t="s">
        <v>26</v>
      </c>
      <c r="L291" s="1">
        <v>1.0</v>
      </c>
      <c r="M291" s="3">
        <v>43106.0</v>
      </c>
      <c r="N291" s="4">
        <f t="shared" si="1"/>
        <v>1</v>
      </c>
      <c r="O291" s="4">
        <f t="shared" si="2"/>
        <v>2018</v>
      </c>
    </row>
    <row r="292">
      <c r="A292" s="1">
        <v>291.0</v>
      </c>
      <c r="B292" s="1" t="s">
        <v>85</v>
      </c>
      <c r="C292" s="1">
        <v>31.0</v>
      </c>
      <c r="D292" s="1" t="s">
        <v>23</v>
      </c>
      <c r="E292" s="1" t="s">
        <v>39</v>
      </c>
      <c r="F292" s="1" t="s">
        <v>32</v>
      </c>
      <c r="G292" s="1">
        <v>10.0</v>
      </c>
      <c r="H292" s="1">
        <v>97150.0</v>
      </c>
      <c r="I292" s="1" t="s">
        <v>33</v>
      </c>
      <c r="J292" s="1" t="s">
        <v>29</v>
      </c>
      <c r="K292" s="1" t="s">
        <v>26</v>
      </c>
      <c r="L292" s="1">
        <v>1.0</v>
      </c>
      <c r="M292" s="3">
        <v>42382.0</v>
      </c>
      <c r="N292" s="4">
        <f t="shared" si="1"/>
        <v>1</v>
      </c>
      <c r="O292" s="4">
        <f t="shared" si="2"/>
        <v>2016</v>
      </c>
    </row>
    <row r="293">
      <c r="A293" s="1">
        <v>292.0</v>
      </c>
      <c r="B293" s="1" t="s">
        <v>136</v>
      </c>
      <c r="C293" s="1">
        <v>53.0</v>
      </c>
      <c r="D293" s="1" t="s">
        <v>16</v>
      </c>
      <c r="E293" s="1" t="s">
        <v>17</v>
      </c>
      <c r="F293" s="1" t="s">
        <v>18</v>
      </c>
      <c r="G293" s="1">
        <v>0.0</v>
      </c>
      <c r="H293" s="1">
        <v>21763.0</v>
      </c>
      <c r="I293" s="1" t="s">
        <v>19</v>
      </c>
      <c r="J293" s="1" t="s">
        <v>29</v>
      </c>
      <c r="K293" s="1" t="s">
        <v>26</v>
      </c>
      <c r="L293" s="1">
        <v>1.0</v>
      </c>
      <c r="M293" s="3">
        <v>46271.0</v>
      </c>
      <c r="N293" s="4">
        <f t="shared" si="1"/>
        <v>9</v>
      </c>
      <c r="O293" s="4">
        <f t="shared" si="2"/>
        <v>2026</v>
      </c>
    </row>
    <row r="294">
      <c r="A294" s="1">
        <v>293.0</v>
      </c>
      <c r="B294" s="1" t="s">
        <v>96</v>
      </c>
      <c r="C294" s="1">
        <v>57.0</v>
      </c>
      <c r="D294" s="1" t="s">
        <v>16</v>
      </c>
      <c r="E294" s="1" t="s">
        <v>39</v>
      </c>
      <c r="F294" s="1" t="s">
        <v>18</v>
      </c>
      <c r="G294" s="1">
        <v>15.0</v>
      </c>
      <c r="H294" s="1">
        <v>58622.0</v>
      </c>
      <c r="I294" s="1" t="s">
        <v>33</v>
      </c>
      <c r="J294" s="1" t="s">
        <v>34</v>
      </c>
      <c r="K294" s="1" t="s">
        <v>26</v>
      </c>
      <c r="L294" s="1">
        <v>3.0</v>
      </c>
      <c r="M294" s="3">
        <v>40637.0</v>
      </c>
      <c r="N294" s="4">
        <f t="shared" si="1"/>
        <v>4</v>
      </c>
      <c r="O294" s="4">
        <f t="shared" si="2"/>
        <v>2011</v>
      </c>
    </row>
    <row r="295">
      <c r="A295" s="1">
        <v>294.0</v>
      </c>
      <c r="B295" s="1" t="s">
        <v>35</v>
      </c>
      <c r="C295" s="1">
        <v>47.0</v>
      </c>
      <c r="D295" s="1" t="s">
        <v>16</v>
      </c>
      <c r="E295" s="1" t="s">
        <v>28</v>
      </c>
      <c r="F295" s="1" t="s">
        <v>24</v>
      </c>
      <c r="G295" s="1">
        <v>7.0</v>
      </c>
      <c r="H295" s="1">
        <v>73090.0</v>
      </c>
      <c r="I295" s="1" t="s">
        <v>38</v>
      </c>
      <c r="J295" s="1" t="s">
        <v>29</v>
      </c>
      <c r="K295" s="1" t="s">
        <v>21</v>
      </c>
      <c r="L295" s="1">
        <v>5.0</v>
      </c>
      <c r="M295" s="3">
        <v>43669.0</v>
      </c>
      <c r="N295" s="4">
        <f t="shared" si="1"/>
        <v>7</v>
      </c>
      <c r="O295" s="4">
        <f t="shared" si="2"/>
        <v>2019</v>
      </c>
    </row>
    <row r="296">
      <c r="A296" s="1">
        <v>295.0</v>
      </c>
      <c r="B296" s="1" t="s">
        <v>55</v>
      </c>
      <c r="C296" s="1">
        <v>52.0</v>
      </c>
      <c r="D296" s="1" t="s">
        <v>16</v>
      </c>
      <c r="E296" s="1" t="s">
        <v>28</v>
      </c>
      <c r="F296" s="1" t="s">
        <v>37</v>
      </c>
      <c r="G296" s="1">
        <v>14.0</v>
      </c>
      <c r="H296" s="1">
        <v>74329.0</v>
      </c>
      <c r="I296" s="1" t="s">
        <v>51</v>
      </c>
      <c r="J296" s="1" t="s">
        <v>29</v>
      </c>
      <c r="K296" s="1" t="s">
        <v>26</v>
      </c>
      <c r="L296" s="1">
        <v>5.0</v>
      </c>
      <c r="M296" s="3">
        <v>41003.0</v>
      </c>
      <c r="N296" s="4">
        <f t="shared" si="1"/>
        <v>4</v>
      </c>
      <c r="O296" s="4">
        <f t="shared" si="2"/>
        <v>2012</v>
      </c>
    </row>
    <row r="297">
      <c r="A297" s="1">
        <v>296.0</v>
      </c>
      <c r="B297" s="1" t="s">
        <v>109</v>
      </c>
      <c r="C297" s="1">
        <v>35.0</v>
      </c>
      <c r="D297" s="1" t="s">
        <v>16</v>
      </c>
      <c r="E297" s="1" t="s">
        <v>36</v>
      </c>
      <c r="F297" s="1" t="s">
        <v>24</v>
      </c>
      <c r="G297" s="1">
        <v>6.0</v>
      </c>
      <c r="H297" s="1">
        <v>101170.0</v>
      </c>
      <c r="I297" s="1" t="s">
        <v>43</v>
      </c>
      <c r="J297" s="1" t="s">
        <v>29</v>
      </c>
      <c r="K297" s="1" t="s">
        <v>21</v>
      </c>
      <c r="L297" s="1">
        <v>4.0</v>
      </c>
      <c r="M297" s="3">
        <v>44037.0</v>
      </c>
      <c r="N297" s="4">
        <f t="shared" si="1"/>
        <v>7</v>
      </c>
      <c r="O297" s="4">
        <f t="shared" si="2"/>
        <v>2020</v>
      </c>
    </row>
    <row r="298">
      <c r="A298" s="1">
        <v>297.0</v>
      </c>
      <c r="B298" s="1" t="s">
        <v>121</v>
      </c>
      <c r="C298" s="1">
        <v>58.0</v>
      </c>
      <c r="D298" s="1" t="s">
        <v>16</v>
      </c>
      <c r="E298" s="1" t="s">
        <v>28</v>
      </c>
      <c r="F298" s="1" t="s">
        <v>37</v>
      </c>
      <c r="G298" s="1">
        <v>2.0</v>
      </c>
      <c r="H298" s="1">
        <v>25703.0</v>
      </c>
      <c r="I298" s="1" t="s">
        <v>51</v>
      </c>
      <c r="J298" s="1" t="s">
        <v>20</v>
      </c>
      <c r="K298" s="1" t="s">
        <v>21</v>
      </c>
      <c r="L298" s="1">
        <v>3.0</v>
      </c>
      <c r="M298" s="3">
        <v>45569.0</v>
      </c>
      <c r="N298" s="4">
        <f t="shared" si="1"/>
        <v>10</v>
      </c>
      <c r="O298" s="4">
        <f t="shared" si="2"/>
        <v>2024</v>
      </c>
    </row>
    <row r="299">
      <c r="A299" s="1">
        <v>298.0</v>
      </c>
      <c r="B299" s="1" t="s">
        <v>30</v>
      </c>
      <c r="C299" s="1">
        <v>33.0</v>
      </c>
      <c r="D299" s="1" t="s">
        <v>16</v>
      </c>
      <c r="E299" s="1" t="s">
        <v>39</v>
      </c>
      <c r="F299" s="1" t="s">
        <v>18</v>
      </c>
      <c r="G299" s="1">
        <v>1.0</v>
      </c>
      <c r="H299" s="1">
        <v>96787.0</v>
      </c>
      <c r="I299" s="1" t="s">
        <v>38</v>
      </c>
      <c r="J299" s="1" t="s">
        <v>29</v>
      </c>
      <c r="K299" s="1" t="s">
        <v>21</v>
      </c>
      <c r="L299" s="1">
        <v>3.0</v>
      </c>
      <c r="M299" s="3">
        <v>45819.0</v>
      </c>
      <c r="N299" s="4">
        <f t="shared" si="1"/>
        <v>6</v>
      </c>
      <c r="O299" s="4">
        <f t="shared" si="2"/>
        <v>2025</v>
      </c>
    </row>
    <row r="300">
      <c r="A300" s="1">
        <v>299.0</v>
      </c>
      <c r="B300" s="1" t="s">
        <v>116</v>
      </c>
      <c r="C300" s="1">
        <v>39.0</v>
      </c>
      <c r="D300" s="1" t="s">
        <v>16</v>
      </c>
      <c r="E300" s="1" t="s">
        <v>36</v>
      </c>
      <c r="F300" s="1" t="s">
        <v>49</v>
      </c>
      <c r="G300" s="1">
        <v>0.0</v>
      </c>
      <c r="H300" s="1">
        <v>83308.0</v>
      </c>
      <c r="I300" s="1" t="s">
        <v>19</v>
      </c>
      <c r="J300" s="1" t="s">
        <v>34</v>
      </c>
      <c r="K300" s="1" t="s">
        <v>21</v>
      </c>
      <c r="L300" s="1">
        <v>3.0</v>
      </c>
      <c r="M300" s="3">
        <v>46114.0</v>
      </c>
      <c r="N300" s="4">
        <f t="shared" si="1"/>
        <v>4</v>
      </c>
      <c r="O300" s="4">
        <f t="shared" si="2"/>
        <v>2026</v>
      </c>
    </row>
    <row r="301">
      <c r="A301" s="1">
        <v>300.0</v>
      </c>
      <c r="B301" s="1" t="s">
        <v>97</v>
      </c>
      <c r="C301" s="1">
        <v>53.0</v>
      </c>
      <c r="D301" s="1" t="s">
        <v>16</v>
      </c>
      <c r="E301" s="1" t="s">
        <v>31</v>
      </c>
      <c r="F301" s="1" t="s">
        <v>18</v>
      </c>
      <c r="G301" s="1">
        <v>5.0</v>
      </c>
      <c r="H301" s="1">
        <v>30155.0</v>
      </c>
      <c r="I301" s="1" t="s">
        <v>19</v>
      </c>
      <c r="J301" s="1" t="s">
        <v>20</v>
      </c>
      <c r="K301" s="1" t="s">
        <v>26</v>
      </c>
      <c r="L301" s="1">
        <v>5.0</v>
      </c>
      <c r="M301" s="3">
        <v>44200.0</v>
      </c>
      <c r="N301" s="4">
        <f t="shared" si="1"/>
        <v>1</v>
      </c>
      <c r="O301" s="4">
        <f t="shared" si="2"/>
        <v>2021</v>
      </c>
    </row>
    <row r="302">
      <c r="A302" s="1">
        <v>301.0</v>
      </c>
      <c r="B302" s="1" t="s">
        <v>70</v>
      </c>
      <c r="C302" s="1">
        <v>52.0</v>
      </c>
      <c r="D302" s="1" t="s">
        <v>16</v>
      </c>
      <c r="E302" s="1" t="s">
        <v>39</v>
      </c>
      <c r="F302" s="1" t="s">
        <v>18</v>
      </c>
      <c r="G302" s="1">
        <v>6.0</v>
      </c>
      <c r="H302" s="1">
        <v>71492.0</v>
      </c>
      <c r="I302" s="1" t="s">
        <v>43</v>
      </c>
      <c r="J302" s="1" t="s">
        <v>20</v>
      </c>
      <c r="K302" s="1" t="s">
        <v>21</v>
      </c>
      <c r="L302" s="1">
        <v>2.0</v>
      </c>
      <c r="M302" s="3">
        <v>44132.0</v>
      </c>
      <c r="N302" s="4">
        <f t="shared" si="1"/>
        <v>10</v>
      </c>
      <c r="O302" s="4">
        <f t="shared" si="2"/>
        <v>2020</v>
      </c>
    </row>
    <row r="303">
      <c r="A303" s="1">
        <v>302.0</v>
      </c>
      <c r="B303" s="1" t="s">
        <v>75</v>
      </c>
      <c r="C303" s="1">
        <v>34.0</v>
      </c>
      <c r="D303" s="1" t="s">
        <v>16</v>
      </c>
      <c r="E303" s="1" t="s">
        <v>39</v>
      </c>
      <c r="F303" s="1" t="s">
        <v>37</v>
      </c>
      <c r="G303" s="1">
        <v>8.0</v>
      </c>
      <c r="H303" s="1">
        <v>36738.0</v>
      </c>
      <c r="I303" s="1" t="s">
        <v>43</v>
      </c>
      <c r="J303" s="1" t="s">
        <v>34</v>
      </c>
      <c r="K303" s="1" t="s">
        <v>21</v>
      </c>
      <c r="L303" s="1">
        <v>1.0</v>
      </c>
      <c r="M303" s="3">
        <v>43258.0</v>
      </c>
      <c r="N303" s="4">
        <f t="shared" si="1"/>
        <v>6</v>
      </c>
      <c r="O303" s="4">
        <f t="shared" si="2"/>
        <v>2018</v>
      </c>
    </row>
    <row r="304">
      <c r="A304" s="1">
        <v>303.0</v>
      </c>
      <c r="B304" s="1" t="s">
        <v>104</v>
      </c>
      <c r="C304" s="1">
        <v>27.0</v>
      </c>
      <c r="D304" s="1" t="s">
        <v>23</v>
      </c>
      <c r="E304" s="1" t="s">
        <v>39</v>
      </c>
      <c r="F304" s="1" t="s">
        <v>32</v>
      </c>
      <c r="G304" s="1">
        <v>15.0</v>
      </c>
      <c r="H304" s="1">
        <v>24003.0</v>
      </c>
      <c r="I304" s="1" t="s">
        <v>38</v>
      </c>
      <c r="J304" s="1" t="s">
        <v>29</v>
      </c>
      <c r="K304" s="1" t="s">
        <v>21</v>
      </c>
      <c r="L304" s="1">
        <v>4.0</v>
      </c>
      <c r="M304" s="3">
        <v>40557.0</v>
      </c>
      <c r="N304" s="4">
        <f t="shared" si="1"/>
        <v>1</v>
      </c>
      <c r="O304" s="4">
        <f t="shared" si="2"/>
        <v>2011</v>
      </c>
    </row>
    <row r="305">
      <c r="A305" s="1">
        <v>304.0</v>
      </c>
      <c r="B305" s="1" t="s">
        <v>114</v>
      </c>
      <c r="C305" s="1">
        <v>29.0</v>
      </c>
      <c r="D305" s="1" t="s">
        <v>23</v>
      </c>
      <c r="E305" s="1" t="s">
        <v>42</v>
      </c>
      <c r="F305" s="1" t="s">
        <v>37</v>
      </c>
      <c r="G305" s="1">
        <v>1.0</v>
      </c>
      <c r="H305" s="1">
        <v>54929.0</v>
      </c>
      <c r="I305" s="1" t="s">
        <v>19</v>
      </c>
      <c r="J305" s="1" t="s">
        <v>20</v>
      </c>
      <c r="K305" s="1" t="s">
        <v>21</v>
      </c>
      <c r="L305" s="1">
        <v>2.0</v>
      </c>
      <c r="M305" s="3">
        <v>45856.0</v>
      </c>
      <c r="N305" s="4">
        <f t="shared" si="1"/>
        <v>7</v>
      </c>
      <c r="O305" s="4">
        <f t="shared" si="2"/>
        <v>2025</v>
      </c>
    </row>
    <row r="306">
      <c r="A306" s="1">
        <v>305.0</v>
      </c>
      <c r="B306" s="1" t="s">
        <v>22</v>
      </c>
      <c r="C306" s="1">
        <v>42.0</v>
      </c>
      <c r="D306" s="1" t="s">
        <v>16</v>
      </c>
      <c r="E306" s="1" t="s">
        <v>42</v>
      </c>
      <c r="F306" s="1" t="s">
        <v>49</v>
      </c>
      <c r="G306" s="1">
        <v>7.0</v>
      </c>
      <c r="H306" s="1">
        <v>33452.0</v>
      </c>
      <c r="I306" s="1" t="s">
        <v>33</v>
      </c>
      <c r="J306" s="1" t="s">
        <v>34</v>
      </c>
      <c r="K306" s="1" t="s">
        <v>26</v>
      </c>
      <c r="L306" s="1">
        <v>4.0</v>
      </c>
      <c r="M306" s="3">
        <v>43475.0</v>
      </c>
      <c r="N306" s="4">
        <f t="shared" si="1"/>
        <v>1</v>
      </c>
      <c r="O306" s="4">
        <f t="shared" si="2"/>
        <v>2019</v>
      </c>
    </row>
    <row r="307">
      <c r="A307" s="1">
        <v>306.0</v>
      </c>
      <c r="B307" s="1" t="s">
        <v>127</v>
      </c>
      <c r="C307" s="1">
        <v>30.0</v>
      </c>
      <c r="D307" s="1" t="s">
        <v>23</v>
      </c>
      <c r="E307" s="1" t="s">
        <v>36</v>
      </c>
      <c r="F307" s="1" t="s">
        <v>18</v>
      </c>
      <c r="G307" s="1">
        <v>6.0</v>
      </c>
      <c r="H307" s="1">
        <v>41096.0</v>
      </c>
      <c r="I307" s="1" t="s">
        <v>25</v>
      </c>
      <c r="J307" s="1" t="s">
        <v>20</v>
      </c>
      <c r="K307" s="1" t="s">
        <v>26</v>
      </c>
      <c r="L307" s="1">
        <v>3.0</v>
      </c>
      <c r="M307" s="3">
        <v>43953.0</v>
      </c>
      <c r="N307" s="4">
        <f t="shared" si="1"/>
        <v>5</v>
      </c>
      <c r="O307" s="4">
        <f t="shared" si="2"/>
        <v>2020</v>
      </c>
    </row>
    <row r="308">
      <c r="A308" s="1">
        <v>307.0</v>
      </c>
      <c r="B308" s="1" t="s">
        <v>84</v>
      </c>
      <c r="C308" s="1">
        <v>28.0</v>
      </c>
      <c r="D308" s="1" t="s">
        <v>16</v>
      </c>
      <c r="E308" s="1" t="s">
        <v>28</v>
      </c>
      <c r="F308" s="1" t="s">
        <v>37</v>
      </c>
      <c r="G308" s="1">
        <v>8.0</v>
      </c>
      <c r="H308" s="1">
        <v>113084.0</v>
      </c>
      <c r="I308" s="1" t="s">
        <v>51</v>
      </c>
      <c r="J308" s="1" t="s">
        <v>20</v>
      </c>
      <c r="K308" s="1" t="s">
        <v>26</v>
      </c>
      <c r="L308" s="1">
        <v>1.0</v>
      </c>
      <c r="M308" s="3">
        <v>43146.0</v>
      </c>
      <c r="N308" s="4">
        <f t="shared" si="1"/>
        <v>2</v>
      </c>
      <c r="O308" s="4">
        <f t="shared" si="2"/>
        <v>2018</v>
      </c>
    </row>
    <row r="309">
      <c r="A309" s="1">
        <v>308.0</v>
      </c>
      <c r="B309" s="1" t="s">
        <v>76</v>
      </c>
      <c r="C309" s="1">
        <v>60.0</v>
      </c>
      <c r="D309" s="1" t="s">
        <v>23</v>
      </c>
      <c r="E309" s="1" t="s">
        <v>39</v>
      </c>
      <c r="F309" s="1" t="s">
        <v>18</v>
      </c>
      <c r="G309" s="1">
        <v>1.0</v>
      </c>
      <c r="H309" s="1">
        <v>72102.0</v>
      </c>
      <c r="I309" s="1" t="s">
        <v>51</v>
      </c>
      <c r="J309" s="1" t="s">
        <v>20</v>
      </c>
      <c r="K309" s="1" t="s">
        <v>26</v>
      </c>
      <c r="L309" s="1">
        <v>4.0</v>
      </c>
      <c r="M309" s="3">
        <v>45896.0</v>
      </c>
      <c r="N309" s="4">
        <f t="shared" si="1"/>
        <v>8</v>
      </c>
      <c r="O309" s="4">
        <f t="shared" si="2"/>
        <v>2025</v>
      </c>
    </row>
    <row r="310">
      <c r="A310" s="1">
        <v>309.0</v>
      </c>
      <c r="B310" s="1" t="s">
        <v>60</v>
      </c>
      <c r="C310" s="1">
        <v>36.0</v>
      </c>
      <c r="D310" s="1" t="s">
        <v>23</v>
      </c>
      <c r="E310" s="1" t="s">
        <v>39</v>
      </c>
      <c r="F310" s="1" t="s">
        <v>24</v>
      </c>
      <c r="G310" s="1">
        <v>4.0</v>
      </c>
      <c r="H310" s="1">
        <v>54904.0</v>
      </c>
      <c r="I310" s="1" t="s">
        <v>25</v>
      </c>
      <c r="J310" s="1" t="s">
        <v>34</v>
      </c>
      <c r="K310" s="1" t="s">
        <v>26</v>
      </c>
      <c r="L310" s="1">
        <v>5.0</v>
      </c>
      <c r="M310" s="3">
        <v>44647.0</v>
      </c>
      <c r="N310" s="4">
        <f t="shared" si="1"/>
        <v>3</v>
      </c>
      <c r="O310" s="4">
        <f t="shared" si="2"/>
        <v>2022</v>
      </c>
    </row>
    <row r="311">
      <c r="A311" s="1">
        <v>310.0</v>
      </c>
      <c r="B311" s="1" t="s">
        <v>66</v>
      </c>
      <c r="C311" s="1">
        <v>57.0</v>
      </c>
      <c r="D311" s="1" t="s">
        <v>16</v>
      </c>
      <c r="E311" s="1" t="s">
        <v>36</v>
      </c>
      <c r="F311" s="1" t="s">
        <v>18</v>
      </c>
      <c r="G311" s="1">
        <v>14.0</v>
      </c>
      <c r="H311" s="1">
        <v>61758.0</v>
      </c>
      <c r="I311" s="1" t="s">
        <v>43</v>
      </c>
      <c r="J311" s="1" t="s">
        <v>20</v>
      </c>
      <c r="K311" s="1" t="s">
        <v>26</v>
      </c>
      <c r="L311" s="1">
        <v>5.0</v>
      </c>
      <c r="M311" s="3">
        <v>41168.0</v>
      </c>
      <c r="N311" s="4">
        <f t="shared" si="1"/>
        <v>9</v>
      </c>
      <c r="O311" s="4">
        <f t="shared" si="2"/>
        <v>2012</v>
      </c>
    </row>
    <row r="312">
      <c r="A312" s="1">
        <v>311.0</v>
      </c>
      <c r="B312" s="1" t="s">
        <v>95</v>
      </c>
      <c r="C312" s="1">
        <v>47.0</v>
      </c>
      <c r="D312" s="1" t="s">
        <v>16</v>
      </c>
      <c r="E312" s="1" t="s">
        <v>28</v>
      </c>
      <c r="F312" s="1" t="s">
        <v>37</v>
      </c>
      <c r="G312" s="1">
        <v>4.0</v>
      </c>
      <c r="H312" s="1">
        <v>107580.0</v>
      </c>
      <c r="I312" s="1" t="s">
        <v>51</v>
      </c>
      <c r="J312" s="1" t="s">
        <v>20</v>
      </c>
      <c r="K312" s="1" t="s">
        <v>26</v>
      </c>
      <c r="L312" s="1">
        <v>4.0</v>
      </c>
      <c r="M312" s="3">
        <v>44576.0</v>
      </c>
      <c r="N312" s="4">
        <f t="shared" si="1"/>
        <v>1</v>
      </c>
      <c r="O312" s="4">
        <f t="shared" si="2"/>
        <v>2022</v>
      </c>
    </row>
    <row r="313">
      <c r="A313" s="1">
        <v>312.0</v>
      </c>
      <c r="B313" s="1" t="s">
        <v>69</v>
      </c>
      <c r="C313" s="1">
        <v>27.0</v>
      </c>
      <c r="D313" s="1" t="s">
        <v>23</v>
      </c>
      <c r="E313" s="1" t="s">
        <v>17</v>
      </c>
      <c r="F313" s="1" t="s">
        <v>49</v>
      </c>
      <c r="G313" s="1">
        <v>9.0</v>
      </c>
      <c r="H313" s="1">
        <v>98774.0</v>
      </c>
      <c r="I313" s="1" t="s">
        <v>51</v>
      </c>
      <c r="J313" s="1" t="s">
        <v>29</v>
      </c>
      <c r="K313" s="1" t="s">
        <v>26</v>
      </c>
      <c r="L313" s="1">
        <v>4.0</v>
      </c>
      <c r="M313" s="3">
        <v>42774.0</v>
      </c>
      <c r="N313" s="4">
        <f t="shared" si="1"/>
        <v>2</v>
      </c>
      <c r="O313" s="4">
        <f t="shared" si="2"/>
        <v>2017</v>
      </c>
    </row>
    <row r="314">
      <c r="A314" s="1">
        <v>313.0</v>
      </c>
      <c r="B314" s="1" t="s">
        <v>57</v>
      </c>
      <c r="C314" s="1">
        <v>26.0</v>
      </c>
      <c r="D314" s="1" t="s">
        <v>23</v>
      </c>
      <c r="E314" s="1" t="s">
        <v>39</v>
      </c>
      <c r="F314" s="1" t="s">
        <v>18</v>
      </c>
      <c r="G314" s="1">
        <v>11.0</v>
      </c>
      <c r="H314" s="1">
        <v>68258.0</v>
      </c>
      <c r="I314" s="1" t="s">
        <v>33</v>
      </c>
      <c r="J314" s="1" t="s">
        <v>29</v>
      </c>
      <c r="K314" s="1" t="s">
        <v>21</v>
      </c>
      <c r="L314" s="1">
        <v>5.0</v>
      </c>
      <c r="M314" s="3">
        <v>42327.0</v>
      </c>
      <c r="N314" s="4">
        <f t="shared" si="1"/>
        <v>11</v>
      </c>
      <c r="O314" s="4">
        <f t="shared" si="2"/>
        <v>2015</v>
      </c>
    </row>
    <row r="315">
      <c r="A315" s="1">
        <v>314.0</v>
      </c>
      <c r="B315" s="1" t="s">
        <v>75</v>
      </c>
      <c r="C315" s="1">
        <v>56.0</v>
      </c>
      <c r="D315" s="1" t="s">
        <v>16</v>
      </c>
      <c r="E315" s="1" t="s">
        <v>28</v>
      </c>
      <c r="F315" s="1" t="s">
        <v>37</v>
      </c>
      <c r="G315" s="1">
        <v>14.0</v>
      </c>
      <c r="H315" s="1">
        <v>118237.0</v>
      </c>
      <c r="I315" s="1" t="s">
        <v>19</v>
      </c>
      <c r="J315" s="1" t="s">
        <v>29</v>
      </c>
      <c r="K315" s="1" t="s">
        <v>26</v>
      </c>
      <c r="L315" s="1">
        <v>4.0</v>
      </c>
      <c r="M315" s="3">
        <v>40927.0</v>
      </c>
      <c r="N315" s="4">
        <f t="shared" si="1"/>
        <v>1</v>
      </c>
      <c r="O315" s="4">
        <f t="shared" si="2"/>
        <v>2012</v>
      </c>
    </row>
    <row r="316">
      <c r="A316" s="1">
        <v>315.0</v>
      </c>
      <c r="B316" s="1" t="s">
        <v>79</v>
      </c>
      <c r="C316" s="1">
        <v>24.0</v>
      </c>
      <c r="D316" s="1" t="s">
        <v>23</v>
      </c>
      <c r="E316" s="1" t="s">
        <v>36</v>
      </c>
      <c r="F316" s="1" t="s">
        <v>24</v>
      </c>
      <c r="G316" s="1">
        <v>4.0</v>
      </c>
      <c r="H316" s="1">
        <v>28563.0</v>
      </c>
      <c r="I316" s="1" t="s">
        <v>19</v>
      </c>
      <c r="J316" s="1" t="s">
        <v>29</v>
      </c>
      <c r="K316" s="1" t="s">
        <v>26</v>
      </c>
      <c r="L316" s="1">
        <v>3.0</v>
      </c>
      <c r="M316" s="3">
        <v>44916.0</v>
      </c>
      <c r="N316" s="4">
        <f t="shared" si="1"/>
        <v>12</v>
      </c>
      <c r="O316" s="4">
        <f t="shared" si="2"/>
        <v>2022</v>
      </c>
    </row>
    <row r="317">
      <c r="A317" s="1">
        <v>316.0</v>
      </c>
      <c r="B317" s="1" t="s">
        <v>137</v>
      </c>
      <c r="C317" s="1">
        <v>55.0</v>
      </c>
      <c r="D317" s="1" t="s">
        <v>16</v>
      </c>
      <c r="E317" s="1" t="s">
        <v>42</v>
      </c>
      <c r="F317" s="1" t="s">
        <v>18</v>
      </c>
      <c r="G317" s="1">
        <v>0.0</v>
      </c>
      <c r="H317" s="1">
        <v>110351.0</v>
      </c>
      <c r="I317" s="1" t="s">
        <v>51</v>
      </c>
      <c r="J317" s="1" t="s">
        <v>29</v>
      </c>
      <c r="K317" s="1" t="s">
        <v>26</v>
      </c>
      <c r="L317" s="1">
        <v>1.0</v>
      </c>
      <c r="M317" s="3">
        <v>46043.0</v>
      </c>
      <c r="N317" s="4">
        <f t="shared" si="1"/>
        <v>1</v>
      </c>
      <c r="O317" s="4">
        <f t="shared" si="2"/>
        <v>2026</v>
      </c>
    </row>
    <row r="318">
      <c r="A318" s="1">
        <v>317.0</v>
      </c>
      <c r="B318" s="1" t="s">
        <v>101</v>
      </c>
      <c r="C318" s="1">
        <v>37.0</v>
      </c>
      <c r="D318" s="1" t="s">
        <v>16</v>
      </c>
      <c r="E318" s="1" t="s">
        <v>36</v>
      </c>
      <c r="F318" s="1" t="s">
        <v>37</v>
      </c>
      <c r="G318" s="1">
        <v>14.0</v>
      </c>
      <c r="H318" s="1">
        <v>98984.0</v>
      </c>
      <c r="I318" s="1" t="s">
        <v>25</v>
      </c>
      <c r="J318" s="1" t="s">
        <v>29</v>
      </c>
      <c r="K318" s="1" t="s">
        <v>21</v>
      </c>
      <c r="L318" s="1">
        <v>1.0</v>
      </c>
      <c r="M318" s="3">
        <v>41042.0</v>
      </c>
      <c r="N318" s="4">
        <f t="shared" si="1"/>
        <v>5</v>
      </c>
      <c r="O318" s="4">
        <f t="shared" si="2"/>
        <v>2012</v>
      </c>
    </row>
    <row r="319">
      <c r="A319" s="1">
        <v>318.0</v>
      </c>
      <c r="B319" s="1" t="s">
        <v>62</v>
      </c>
      <c r="C319" s="1">
        <v>60.0</v>
      </c>
      <c r="D319" s="1" t="s">
        <v>16</v>
      </c>
      <c r="E319" s="1" t="s">
        <v>17</v>
      </c>
      <c r="F319" s="1" t="s">
        <v>37</v>
      </c>
      <c r="G319" s="1">
        <v>11.0</v>
      </c>
      <c r="H319" s="1">
        <v>108861.0</v>
      </c>
      <c r="I319" s="1" t="s">
        <v>19</v>
      </c>
      <c r="J319" s="1" t="s">
        <v>34</v>
      </c>
      <c r="K319" s="1" t="s">
        <v>26</v>
      </c>
      <c r="L319" s="1">
        <v>3.0</v>
      </c>
      <c r="M319" s="3">
        <v>42328.0</v>
      </c>
      <c r="N319" s="4">
        <f t="shared" si="1"/>
        <v>11</v>
      </c>
      <c r="O319" s="4">
        <f t="shared" si="2"/>
        <v>2015</v>
      </c>
    </row>
    <row r="320">
      <c r="A320" s="1">
        <v>319.0</v>
      </c>
      <c r="B320" s="1" t="s">
        <v>65</v>
      </c>
      <c r="C320" s="1">
        <v>47.0</v>
      </c>
      <c r="D320" s="1" t="s">
        <v>16</v>
      </c>
      <c r="E320" s="1" t="s">
        <v>39</v>
      </c>
      <c r="F320" s="1" t="s">
        <v>49</v>
      </c>
      <c r="G320" s="1">
        <v>8.0</v>
      </c>
      <c r="H320" s="1">
        <v>77188.0</v>
      </c>
      <c r="I320" s="1" t="s">
        <v>43</v>
      </c>
      <c r="J320" s="1" t="s">
        <v>29</v>
      </c>
      <c r="K320" s="1" t="s">
        <v>21</v>
      </c>
      <c r="L320" s="1">
        <v>1.0</v>
      </c>
      <c r="M320" s="3">
        <v>43452.0</v>
      </c>
      <c r="N320" s="4">
        <f t="shared" si="1"/>
        <v>12</v>
      </c>
      <c r="O320" s="4">
        <f t="shared" si="2"/>
        <v>2018</v>
      </c>
    </row>
    <row r="321">
      <c r="A321" s="1">
        <v>320.0</v>
      </c>
      <c r="B321" s="1" t="s">
        <v>74</v>
      </c>
      <c r="C321" s="1">
        <v>32.0</v>
      </c>
      <c r="D321" s="1" t="s">
        <v>16</v>
      </c>
      <c r="E321" s="1" t="s">
        <v>17</v>
      </c>
      <c r="F321" s="1" t="s">
        <v>18</v>
      </c>
      <c r="G321" s="1">
        <v>7.0</v>
      </c>
      <c r="H321" s="1">
        <v>105813.0</v>
      </c>
      <c r="I321" s="1" t="s">
        <v>33</v>
      </c>
      <c r="J321" s="1" t="s">
        <v>29</v>
      </c>
      <c r="K321" s="1" t="s">
        <v>26</v>
      </c>
      <c r="L321" s="1">
        <v>2.0</v>
      </c>
      <c r="M321" s="3">
        <v>43791.0</v>
      </c>
      <c r="N321" s="4">
        <f t="shared" si="1"/>
        <v>11</v>
      </c>
      <c r="O321" s="4">
        <f t="shared" si="2"/>
        <v>2019</v>
      </c>
    </row>
    <row r="322">
      <c r="A322" s="1">
        <v>321.0</v>
      </c>
      <c r="B322" s="1" t="s">
        <v>63</v>
      </c>
      <c r="C322" s="1">
        <v>47.0</v>
      </c>
      <c r="D322" s="1" t="s">
        <v>23</v>
      </c>
      <c r="E322" s="1" t="s">
        <v>17</v>
      </c>
      <c r="F322" s="1" t="s">
        <v>37</v>
      </c>
      <c r="G322" s="1">
        <v>2.0</v>
      </c>
      <c r="H322" s="1">
        <v>107617.0</v>
      </c>
      <c r="I322" s="1" t="s">
        <v>25</v>
      </c>
      <c r="J322" s="1" t="s">
        <v>20</v>
      </c>
      <c r="K322" s="1" t="s">
        <v>21</v>
      </c>
      <c r="L322" s="1">
        <v>5.0</v>
      </c>
      <c r="M322" s="3">
        <v>45529.0</v>
      </c>
      <c r="N322" s="4">
        <f t="shared" si="1"/>
        <v>8</v>
      </c>
      <c r="O322" s="4">
        <f t="shared" si="2"/>
        <v>2024</v>
      </c>
    </row>
    <row r="323">
      <c r="A323" s="1">
        <v>322.0</v>
      </c>
      <c r="B323" s="1" t="s">
        <v>59</v>
      </c>
      <c r="C323" s="1">
        <v>42.0</v>
      </c>
      <c r="D323" s="1" t="s">
        <v>23</v>
      </c>
      <c r="E323" s="1" t="s">
        <v>31</v>
      </c>
      <c r="F323" s="1" t="s">
        <v>49</v>
      </c>
      <c r="G323" s="1">
        <v>1.0</v>
      </c>
      <c r="H323" s="1">
        <v>22479.0</v>
      </c>
      <c r="I323" s="1" t="s">
        <v>43</v>
      </c>
      <c r="J323" s="1" t="s">
        <v>29</v>
      </c>
      <c r="K323" s="1" t="s">
        <v>21</v>
      </c>
      <c r="L323" s="1">
        <v>1.0</v>
      </c>
      <c r="M323" s="3">
        <v>45976.0</v>
      </c>
      <c r="N323" s="4">
        <f t="shared" si="1"/>
        <v>11</v>
      </c>
      <c r="O323" s="4">
        <f t="shared" si="2"/>
        <v>2025</v>
      </c>
    </row>
    <row r="324">
      <c r="A324" s="1">
        <v>323.0</v>
      </c>
      <c r="B324" s="1" t="s">
        <v>121</v>
      </c>
      <c r="C324" s="1">
        <v>50.0</v>
      </c>
      <c r="D324" s="1" t="s">
        <v>16</v>
      </c>
      <c r="E324" s="1" t="s">
        <v>17</v>
      </c>
      <c r="F324" s="1" t="s">
        <v>18</v>
      </c>
      <c r="G324" s="1">
        <v>12.0</v>
      </c>
      <c r="H324" s="1">
        <v>54432.0</v>
      </c>
      <c r="I324" s="1" t="s">
        <v>33</v>
      </c>
      <c r="J324" s="1" t="s">
        <v>20</v>
      </c>
      <c r="K324" s="1" t="s">
        <v>26</v>
      </c>
      <c r="L324" s="1">
        <v>5.0</v>
      </c>
      <c r="M324" s="3">
        <v>41832.0</v>
      </c>
      <c r="N324" s="4">
        <f t="shared" si="1"/>
        <v>7</v>
      </c>
      <c r="O324" s="4">
        <f t="shared" si="2"/>
        <v>2014</v>
      </c>
    </row>
    <row r="325">
      <c r="A325" s="1">
        <v>324.0</v>
      </c>
      <c r="B325" s="1" t="s">
        <v>54</v>
      </c>
      <c r="C325" s="1">
        <v>22.0</v>
      </c>
      <c r="D325" s="1" t="s">
        <v>23</v>
      </c>
      <c r="E325" s="1" t="s">
        <v>31</v>
      </c>
      <c r="F325" s="1" t="s">
        <v>49</v>
      </c>
      <c r="G325" s="1">
        <v>0.0</v>
      </c>
      <c r="H325" s="1">
        <v>38361.0</v>
      </c>
      <c r="I325" s="1" t="s">
        <v>25</v>
      </c>
      <c r="J325" s="1" t="s">
        <v>20</v>
      </c>
      <c r="K325" s="1" t="s">
        <v>21</v>
      </c>
      <c r="L325" s="1">
        <v>2.0</v>
      </c>
      <c r="M325" s="3">
        <v>46144.0</v>
      </c>
      <c r="N325" s="4">
        <f t="shared" si="1"/>
        <v>5</v>
      </c>
      <c r="O325" s="4">
        <f t="shared" si="2"/>
        <v>2026</v>
      </c>
    </row>
    <row r="326">
      <c r="A326" s="1">
        <v>325.0</v>
      </c>
      <c r="B326" s="1" t="s">
        <v>55</v>
      </c>
      <c r="C326" s="1">
        <v>41.0</v>
      </c>
      <c r="D326" s="1" t="s">
        <v>23</v>
      </c>
      <c r="E326" s="1" t="s">
        <v>42</v>
      </c>
      <c r="F326" s="1" t="s">
        <v>49</v>
      </c>
      <c r="G326" s="1">
        <v>2.0</v>
      </c>
      <c r="H326" s="1">
        <v>31552.0</v>
      </c>
      <c r="I326" s="1" t="s">
        <v>51</v>
      </c>
      <c r="J326" s="1" t="s">
        <v>34</v>
      </c>
      <c r="K326" s="1" t="s">
        <v>26</v>
      </c>
      <c r="L326" s="1">
        <v>5.0</v>
      </c>
      <c r="M326" s="3">
        <v>45604.0</v>
      </c>
      <c r="N326" s="4">
        <f t="shared" si="1"/>
        <v>11</v>
      </c>
      <c r="O326" s="4">
        <f t="shared" si="2"/>
        <v>2024</v>
      </c>
    </row>
    <row r="327">
      <c r="A327" s="1">
        <v>326.0</v>
      </c>
      <c r="B327" s="1" t="s">
        <v>97</v>
      </c>
      <c r="C327" s="1">
        <v>44.0</v>
      </c>
      <c r="D327" s="1" t="s">
        <v>16</v>
      </c>
      <c r="E327" s="1" t="s">
        <v>17</v>
      </c>
      <c r="F327" s="1" t="s">
        <v>49</v>
      </c>
      <c r="G327" s="1">
        <v>1.0</v>
      </c>
      <c r="H327" s="1">
        <v>108939.0</v>
      </c>
      <c r="I327" s="1" t="s">
        <v>33</v>
      </c>
      <c r="J327" s="1" t="s">
        <v>29</v>
      </c>
      <c r="K327" s="1" t="s">
        <v>26</v>
      </c>
      <c r="L327" s="1">
        <v>2.0</v>
      </c>
      <c r="M327" s="3">
        <v>45861.0</v>
      </c>
      <c r="N327" s="4">
        <f t="shared" si="1"/>
        <v>7</v>
      </c>
      <c r="O327" s="4">
        <f t="shared" si="2"/>
        <v>2025</v>
      </c>
    </row>
    <row r="328">
      <c r="A328" s="1">
        <v>327.0</v>
      </c>
      <c r="B328" s="1" t="s">
        <v>45</v>
      </c>
      <c r="C328" s="1">
        <v>51.0</v>
      </c>
      <c r="D328" s="1" t="s">
        <v>16</v>
      </c>
      <c r="E328" s="1" t="s">
        <v>42</v>
      </c>
      <c r="F328" s="1" t="s">
        <v>32</v>
      </c>
      <c r="G328" s="1">
        <v>6.0</v>
      </c>
      <c r="H328" s="1">
        <v>96198.0</v>
      </c>
      <c r="I328" s="1" t="s">
        <v>43</v>
      </c>
      <c r="J328" s="1" t="s">
        <v>29</v>
      </c>
      <c r="K328" s="1" t="s">
        <v>21</v>
      </c>
      <c r="L328" s="1">
        <v>5.0</v>
      </c>
      <c r="M328" s="3">
        <v>43948.0</v>
      </c>
      <c r="N328" s="4">
        <f t="shared" si="1"/>
        <v>4</v>
      </c>
      <c r="O328" s="4">
        <f t="shared" si="2"/>
        <v>2020</v>
      </c>
    </row>
    <row r="329">
      <c r="A329" s="1">
        <v>328.0</v>
      </c>
      <c r="B329" s="1" t="s">
        <v>87</v>
      </c>
      <c r="C329" s="1">
        <v>38.0</v>
      </c>
      <c r="D329" s="1" t="s">
        <v>16</v>
      </c>
      <c r="E329" s="1" t="s">
        <v>28</v>
      </c>
      <c r="F329" s="1" t="s">
        <v>24</v>
      </c>
      <c r="G329" s="1">
        <v>15.0</v>
      </c>
      <c r="H329" s="1">
        <v>109517.0</v>
      </c>
      <c r="I329" s="1" t="s">
        <v>25</v>
      </c>
      <c r="J329" s="1" t="s">
        <v>29</v>
      </c>
      <c r="K329" s="1" t="s">
        <v>26</v>
      </c>
      <c r="L329" s="1">
        <v>2.0</v>
      </c>
      <c r="M329" s="3">
        <v>40878.0</v>
      </c>
      <c r="N329" s="4">
        <f t="shared" si="1"/>
        <v>12</v>
      </c>
      <c r="O329" s="4">
        <f t="shared" si="2"/>
        <v>2011</v>
      </c>
    </row>
    <row r="330">
      <c r="A330" s="1">
        <v>329.0</v>
      </c>
      <c r="B330" s="1" t="s">
        <v>70</v>
      </c>
      <c r="C330" s="1">
        <v>32.0</v>
      </c>
      <c r="D330" s="1" t="s">
        <v>23</v>
      </c>
      <c r="E330" s="1" t="s">
        <v>39</v>
      </c>
      <c r="F330" s="1" t="s">
        <v>24</v>
      </c>
      <c r="G330" s="1">
        <v>13.0</v>
      </c>
      <c r="H330" s="1">
        <v>115584.0</v>
      </c>
      <c r="I330" s="1" t="s">
        <v>43</v>
      </c>
      <c r="J330" s="1" t="s">
        <v>34</v>
      </c>
      <c r="K330" s="1" t="s">
        <v>26</v>
      </c>
      <c r="L330" s="1">
        <v>5.0</v>
      </c>
      <c r="M330" s="3">
        <v>41496.0</v>
      </c>
      <c r="N330" s="4">
        <f t="shared" si="1"/>
        <v>8</v>
      </c>
      <c r="O330" s="4">
        <f t="shared" si="2"/>
        <v>2013</v>
      </c>
    </row>
    <row r="331">
      <c r="A331" s="1">
        <v>330.0</v>
      </c>
      <c r="B331" s="1" t="s">
        <v>119</v>
      </c>
      <c r="C331" s="1">
        <v>45.0</v>
      </c>
      <c r="D331" s="1" t="s">
        <v>16</v>
      </c>
      <c r="E331" s="1" t="s">
        <v>36</v>
      </c>
      <c r="F331" s="1" t="s">
        <v>18</v>
      </c>
      <c r="G331" s="1">
        <v>3.0</v>
      </c>
      <c r="H331" s="1">
        <v>52456.0</v>
      </c>
      <c r="I331" s="1" t="s">
        <v>25</v>
      </c>
      <c r="J331" s="1" t="s">
        <v>34</v>
      </c>
      <c r="K331" s="1" t="s">
        <v>26</v>
      </c>
      <c r="L331" s="1">
        <v>1.0</v>
      </c>
      <c r="M331" s="3">
        <v>45088.0</v>
      </c>
      <c r="N331" s="4">
        <f t="shared" si="1"/>
        <v>6</v>
      </c>
      <c r="O331" s="4">
        <f t="shared" si="2"/>
        <v>2023</v>
      </c>
    </row>
    <row r="332">
      <c r="A332" s="1">
        <v>331.0</v>
      </c>
      <c r="B332" s="1" t="s">
        <v>123</v>
      </c>
      <c r="C332" s="1">
        <v>32.0</v>
      </c>
      <c r="D332" s="1" t="s">
        <v>16</v>
      </c>
      <c r="E332" s="1" t="s">
        <v>31</v>
      </c>
      <c r="F332" s="1" t="s">
        <v>49</v>
      </c>
      <c r="G332" s="1">
        <v>15.0</v>
      </c>
      <c r="H332" s="1">
        <v>50932.0</v>
      </c>
      <c r="I332" s="1" t="s">
        <v>33</v>
      </c>
      <c r="J332" s="1" t="s">
        <v>29</v>
      </c>
      <c r="K332" s="1" t="s">
        <v>26</v>
      </c>
      <c r="L332" s="1">
        <v>2.0</v>
      </c>
      <c r="M332" s="3">
        <v>40850.0</v>
      </c>
      <c r="N332" s="4">
        <f t="shared" si="1"/>
        <v>11</v>
      </c>
      <c r="O332" s="4">
        <f t="shared" si="2"/>
        <v>2011</v>
      </c>
    </row>
    <row r="333">
      <c r="A333" s="1">
        <v>332.0</v>
      </c>
      <c r="B333" s="1" t="s">
        <v>60</v>
      </c>
      <c r="C333" s="1">
        <v>24.0</v>
      </c>
      <c r="D333" s="1" t="s">
        <v>23</v>
      </c>
      <c r="E333" s="1" t="s">
        <v>31</v>
      </c>
      <c r="F333" s="1" t="s">
        <v>37</v>
      </c>
      <c r="G333" s="1">
        <v>12.0</v>
      </c>
      <c r="H333" s="1">
        <v>102850.0</v>
      </c>
      <c r="I333" s="1" t="s">
        <v>33</v>
      </c>
      <c r="J333" s="1" t="s">
        <v>34</v>
      </c>
      <c r="K333" s="1" t="s">
        <v>21</v>
      </c>
      <c r="L333" s="1">
        <v>1.0</v>
      </c>
      <c r="M333" s="3">
        <v>41698.0</v>
      </c>
      <c r="N333" s="4">
        <f t="shared" si="1"/>
        <v>2</v>
      </c>
      <c r="O333" s="4">
        <f t="shared" si="2"/>
        <v>2014</v>
      </c>
    </row>
    <row r="334">
      <c r="A334" s="1">
        <v>333.0</v>
      </c>
      <c r="B334" s="1" t="s">
        <v>120</v>
      </c>
      <c r="C334" s="1">
        <v>33.0</v>
      </c>
      <c r="D334" s="1" t="s">
        <v>16</v>
      </c>
      <c r="E334" s="1" t="s">
        <v>42</v>
      </c>
      <c r="F334" s="1" t="s">
        <v>24</v>
      </c>
      <c r="G334" s="1">
        <v>15.0</v>
      </c>
      <c r="H334" s="1">
        <v>87585.0</v>
      </c>
      <c r="I334" s="1" t="s">
        <v>51</v>
      </c>
      <c r="J334" s="1" t="s">
        <v>29</v>
      </c>
      <c r="K334" s="1" t="s">
        <v>21</v>
      </c>
      <c r="L334" s="1">
        <v>2.0</v>
      </c>
      <c r="M334" s="3">
        <v>40819.0</v>
      </c>
      <c r="N334" s="4">
        <f t="shared" si="1"/>
        <v>10</v>
      </c>
      <c r="O334" s="4">
        <f t="shared" si="2"/>
        <v>2011</v>
      </c>
    </row>
    <row r="335">
      <c r="A335" s="1">
        <v>334.0</v>
      </c>
      <c r="B335" s="1" t="s">
        <v>85</v>
      </c>
      <c r="C335" s="1">
        <v>58.0</v>
      </c>
      <c r="D335" s="1" t="s">
        <v>23</v>
      </c>
      <c r="E335" s="1" t="s">
        <v>39</v>
      </c>
      <c r="F335" s="1" t="s">
        <v>37</v>
      </c>
      <c r="G335" s="1">
        <v>13.0</v>
      </c>
      <c r="H335" s="1">
        <v>68902.0</v>
      </c>
      <c r="I335" s="1" t="s">
        <v>33</v>
      </c>
      <c r="J335" s="1" t="s">
        <v>20</v>
      </c>
      <c r="K335" s="1" t="s">
        <v>21</v>
      </c>
      <c r="L335" s="1">
        <v>1.0</v>
      </c>
      <c r="M335" s="3">
        <v>41602.0</v>
      </c>
      <c r="N335" s="4">
        <f t="shared" si="1"/>
        <v>11</v>
      </c>
      <c r="O335" s="4">
        <f t="shared" si="2"/>
        <v>2013</v>
      </c>
    </row>
    <row r="336">
      <c r="A336" s="1">
        <v>335.0</v>
      </c>
      <c r="B336" s="1" t="s">
        <v>127</v>
      </c>
      <c r="C336" s="1">
        <v>38.0</v>
      </c>
      <c r="D336" s="1" t="s">
        <v>23</v>
      </c>
      <c r="E336" s="1" t="s">
        <v>36</v>
      </c>
      <c r="F336" s="1" t="s">
        <v>24</v>
      </c>
      <c r="G336" s="1">
        <v>6.0</v>
      </c>
      <c r="H336" s="1">
        <v>88026.0</v>
      </c>
      <c r="I336" s="1" t="s">
        <v>19</v>
      </c>
      <c r="J336" s="1" t="s">
        <v>34</v>
      </c>
      <c r="K336" s="1" t="s">
        <v>26</v>
      </c>
      <c r="L336" s="1">
        <v>4.0</v>
      </c>
      <c r="M336" s="3">
        <v>44116.0</v>
      </c>
      <c r="N336" s="4">
        <f t="shared" si="1"/>
        <v>10</v>
      </c>
      <c r="O336" s="4">
        <f t="shared" si="2"/>
        <v>2020</v>
      </c>
    </row>
    <row r="337">
      <c r="A337" s="1">
        <v>336.0</v>
      </c>
      <c r="B337" s="1" t="s">
        <v>121</v>
      </c>
      <c r="C337" s="1">
        <v>55.0</v>
      </c>
      <c r="D337" s="1" t="s">
        <v>23</v>
      </c>
      <c r="E337" s="1" t="s">
        <v>31</v>
      </c>
      <c r="F337" s="1" t="s">
        <v>49</v>
      </c>
      <c r="G337" s="1">
        <v>14.0</v>
      </c>
      <c r="H337" s="1">
        <v>57958.0</v>
      </c>
      <c r="I337" s="1" t="s">
        <v>25</v>
      </c>
      <c r="J337" s="1" t="s">
        <v>20</v>
      </c>
      <c r="K337" s="1" t="s">
        <v>21</v>
      </c>
      <c r="L337" s="1">
        <v>4.0</v>
      </c>
      <c r="M337" s="3">
        <v>41114.0</v>
      </c>
      <c r="N337" s="4">
        <f t="shared" si="1"/>
        <v>7</v>
      </c>
      <c r="O337" s="4">
        <f t="shared" si="2"/>
        <v>2012</v>
      </c>
    </row>
    <row r="338">
      <c r="A338" s="1">
        <v>337.0</v>
      </c>
      <c r="B338" s="1" t="s">
        <v>127</v>
      </c>
      <c r="C338" s="1">
        <v>42.0</v>
      </c>
      <c r="D338" s="1" t="s">
        <v>16</v>
      </c>
      <c r="E338" s="1" t="s">
        <v>36</v>
      </c>
      <c r="F338" s="1" t="s">
        <v>24</v>
      </c>
      <c r="G338" s="1">
        <v>5.0</v>
      </c>
      <c r="H338" s="1">
        <v>83056.0</v>
      </c>
      <c r="I338" s="1" t="s">
        <v>33</v>
      </c>
      <c r="J338" s="1" t="s">
        <v>29</v>
      </c>
      <c r="K338" s="1" t="s">
        <v>21</v>
      </c>
      <c r="L338" s="1">
        <v>5.0</v>
      </c>
      <c r="M338" s="3">
        <v>44238.0</v>
      </c>
      <c r="N338" s="4">
        <f t="shared" si="1"/>
        <v>2</v>
      </c>
      <c r="O338" s="4">
        <f t="shared" si="2"/>
        <v>2021</v>
      </c>
    </row>
    <row r="339">
      <c r="A339" s="1">
        <v>338.0</v>
      </c>
      <c r="B339" s="1" t="s">
        <v>100</v>
      </c>
      <c r="C339" s="1">
        <v>49.0</v>
      </c>
      <c r="D339" s="1" t="s">
        <v>23</v>
      </c>
      <c r="E339" s="1" t="s">
        <v>39</v>
      </c>
      <c r="F339" s="1" t="s">
        <v>37</v>
      </c>
      <c r="G339" s="1">
        <v>12.0</v>
      </c>
      <c r="H339" s="1">
        <v>34228.0</v>
      </c>
      <c r="I339" s="1" t="s">
        <v>38</v>
      </c>
      <c r="J339" s="1" t="s">
        <v>20</v>
      </c>
      <c r="K339" s="1" t="s">
        <v>21</v>
      </c>
      <c r="L339" s="1">
        <v>3.0</v>
      </c>
      <c r="M339" s="3">
        <v>41948.0</v>
      </c>
      <c r="N339" s="4">
        <f t="shared" si="1"/>
        <v>11</v>
      </c>
      <c r="O339" s="4">
        <f t="shared" si="2"/>
        <v>2014</v>
      </c>
    </row>
    <row r="340">
      <c r="A340" s="1">
        <v>339.0</v>
      </c>
      <c r="B340" s="1" t="s">
        <v>104</v>
      </c>
      <c r="C340" s="1">
        <v>41.0</v>
      </c>
      <c r="D340" s="1" t="s">
        <v>16</v>
      </c>
      <c r="E340" s="1" t="s">
        <v>42</v>
      </c>
      <c r="F340" s="1" t="s">
        <v>37</v>
      </c>
      <c r="G340" s="1">
        <v>12.0</v>
      </c>
      <c r="H340" s="1">
        <v>47834.0</v>
      </c>
      <c r="I340" s="1" t="s">
        <v>19</v>
      </c>
      <c r="J340" s="1" t="s">
        <v>20</v>
      </c>
      <c r="K340" s="1" t="s">
        <v>21</v>
      </c>
      <c r="L340" s="1">
        <v>3.0</v>
      </c>
      <c r="M340" s="3">
        <v>41760.0</v>
      </c>
      <c r="N340" s="4">
        <f t="shared" si="1"/>
        <v>5</v>
      </c>
      <c r="O340" s="4">
        <f t="shared" si="2"/>
        <v>2014</v>
      </c>
    </row>
    <row r="341">
      <c r="A341" s="1">
        <v>340.0</v>
      </c>
      <c r="B341" s="1" t="s">
        <v>83</v>
      </c>
      <c r="C341" s="1">
        <v>24.0</v>
      </c>
      <c r="D341" s="1" t="s">
        <v>16</v>
      </c>
      <c r="E341" s="1" t="s">
        <v>31</v>
      </c>
      <c r="F341" s="1" t="s">
        <v>37</v>
      </c>
      <c r="G341" s="1">
        <v>0.0</v>
      </c>
      <c r="H341" s="1">
        <v>49992.0</v>
      </c>
      <c r="I341" s="1" t="s">
        <v>43</v>
      </c>
      <c r="J341" s="1" t="s">
        <v>20</v>
      </c>
      <c r="K341" s="1" t="s">
        <v>21</v>
      </c>
      <c r="L341" s="1">
        <v>4.0</v>
      </c>
      <c r="M341" s="3">
        <v>46067.0</v>
      </c>
      <c r="N341" s="4">
        <f t="shared" si="1"/>
        <v>2</v>
      </c>
      <c r="O341" s="4">
        <f t="shared" si="2"/>
        <v>2026</v>
      </c>
    </row>
    <row r="342">
      <c r="A342" s="1">
        <v>341.0</v>
      </c>
      <c r="B342" s="1" t="s">
        <v>102</v>
      </c>
      <c r="C342" s="1">
        <v>59.0</v>
      </c>
      <c r="D342" s="1" t="s">
        <v>23</v>
      </c>
      <c r="E342" s="1" t="s">
        <v>28</v>
      </c>
      <c r="F342" s="1" t="s">
        <v>49</v>
      </c>
      <c r="G342" s="1">
        <v>5.0</v>
      </c>
      <c r="H342" s="1">
        <v>37091.0</v>
      </c>
      <c r="I342" s="1" t="s">
        <v>43</v>
      </c>
      <c r="J342" s="1" t="s">
        <v>34</v>
      </c>
      <c r="K342" s="1" t="s">
        <v>26</v>
      </c>
      <c r="L342" s="1">
        <v>2.0</v>
      </c>
      <c r="M342" s="3">
        <v>44539.0</v>
      </c>
      <c r="N342" s="4">
        <f t="shared" si="1"/>
        <v>12</v>
      </c>
      <c r="O342" s="4">
        <f t="shared" si="2"/>
        <v>2021</v>
      </c>
    </row>
    <row r="343">
      <c r="A343" s="1">
        <v>342.0</v>
      </c>
      <c r="B343" s="1" t="s">
        <v>88</v>
      </c>
      <c r="C343" s="1">
        <v>60.0</v>
      </c>
      <c r="D343" s="1" t="s">
        <v>23</v>
      </c>
      <c r="E343" s="1" t="s">
        <v>28</v>
      </c>
      <c r="F343" s="1" t="s">
        <v>37</v>
      </c>
      <c r="G343" s="1">
        <v>12.0</v>
      </c>
      <c r="H343" s="1">
        <v>98774.0</v>
      </c>
      <c r="I343" s="1" t="s">
        <v>38</v>
      </c>
      <c r="J343" s="1" t="s">
        <v>34</v>
      </c>
      <c r="K343" s="1" t="s">
        <v>26</v>
      </c>
      <c r="L343" s="1">
        <v>5.0</v>
      </c>
      <c r="M343" s="3">
        <v>41713.0</v>
      </c>
      <c r="N343" s="4">
        <f t="shared" si="1"/>
        <v>3</v>
      </c>
      <c r="O343" s="4">
        <f t="shared" si="2"/>
        <v>2014</v>
      </c>
    </row>
    <row r="344">
      <c r="A344" s="1">
        <v>343.0</v>
      </c>
      <c r="B344" s="1" t="s">
        <v>40</v>
      </c>
      <c r="C344" s="1">
        <v>28.0</v>
      </c>
      <c r="D344" s="1" t="s">
        <v>16</v>
      </c>
      <c r="E344" s="1" t="s">
        <v>31</v>
      </c>
      <c r="F344" s="1" t="s">
        <v>49</v>
      </c>
      <c r="G344" s="1">
        <v>8.0</v>
      </c>
      <c r="H344" s="1">
        <v>78861.0</v>
      </c>
      <c r="I344" s="1" t="s">
        <v>38</v>
      </c>
      <c r="J344" s="1" t="s">
        <v>29</v>
      </c>
      <c r="K344" s="1" t="s">
        <v>26</v>
      </c>
      <c r="L344" s="1">
        <v>4.0</v>
      </c>
      <c r="M344" s="3">
        <v>43238.0</v>
      </c>
      <c r="N344" s="4">
        <f t="shared" si="1"/>
        <v>5</v>
      </c>
      <c r="O344" s="4">
        <f t="shared" si="2"/>
        <v>2018</v>
      </c>
    </row>
    <row r="345">
      <c r="A345" s="1">
        <v>344.0</v>
      </c>
      <c r="B345" s="1" t="s">
        <v>61</v>
      </c>
      <c r="C345" s="1">
        <v>24.0</v>
      </c>
      <c r="D345" s="1" t="s">
        <v>16</v>
      </c>
      <c r="E345" s="1" t="s">
        <v>17</v>
      </c>
      <c r="F345" s="1" t="s">
        <v>18</v>
      </c>
      <c r="G345" s="1">
        <v>15.0</v>
      </c>
      <c r="H345" s="1">
        <v>64679.0</v>
      </c>
      <c r="I345" s="1" t="s">
        <v>43</v>
      </c>
      <c r="J345" s="1" t="s">
        <v>20</v>
      </c>
      <c r="K345" s="1" t="s">
        <v>21</v>
      </c>
      <c r="L345" s="1">
        <v>5.0</v>
      </c>
      <c r="M345" s="3">
        <v>40886.0</v>
      </c>
      <c r="N345" s="4">
        <f t="shared" si="1"/>
        <v>12</v>
      </c>
      <c r="O345" s="4">
        <f t="shared" si="2"/>
        <v>2011</v>
      </c>
    </row>
    <row r="346">
      <c r="A346" s="1">
        <v>345.0</v>
      </c>
      <c r="B346" s="1" t="s">
        <v>98</v>
      </c>
      <c r="C346" s="1">
        <v>24.0</v>
      </c>
      <c r="D346" s="1" t="s">
        <v>16</v>
      </c>
      <c r="E346" s="1" t="s">
        <v>39</v>
      </c>
      <c r="F346" s="1" t="s">
        <v>49</v>
      </c>
      <c r="G346" s="1">
        <v>8.0</v>
      </c>
      <c r="H346" s="1">
        <v>33142.0</v>
      </c>
      <c r="I346" s="1" t="s">
        <v>38</v>
      </c>
      <c r="J346" s="1" t="s">
        <v>20</v>
      </c>
      <c r="K346" s="1" t="s">
        <v>26</v>
      </c>
      <c r="L346" s="1">
        <v>5.0</v>
      </c>
      <c r="M346" s="3">
        <v>43417.0</v>
      </c>
      <c r="N346" s="4">
        <f t="shared" si="1"/>
        <v>11</v>
      </c>
      <c r="O346" s="4">
        <f t="shared" si="2"/>
        <v>2018</v>
      </c>
    </row>
    <row r="347">
      <c r="A347" s="1">
        <v>346.0</v>
      </c>
      <c r="B347" s="1" t="s">
        <v>41</v>
      </c>
      <c r="C347" s="1">
        <v>60.0</v>
      </c>
      <c r="D347" s="1" t="s">
        <v>23</v>
      </c>
      <c r="E347" s="1" t="s">
        <v>36</v>
      </c>
      <c r="F347" s="1" t="s">
        <v>37</v>
      </c>
      <c r="G347" s="1">
        <v>4.0</v>
      </c>
      <c r="H347" s="1">
        <v>93680.0</v>
      </c>
      <c r="I347" s="1" t="s">
        <v>38</v>
      </c>
      <c r="J347" s="1" t="s">
        <v>29</v>
      </c>
      <c r="K347" s="1" t="s">
        <v>21</v>
      </c>
      <c r="L347" s="1">
        <v>5.0</v>
      </c>
      <c r="M347" s="3">
        <v>44888.0</v>
      </c>
      <c r="N347" s="4">
        <f t="shared" si="1"/>
        <v>11</v>
      </c>
      <c r="O347" s="4">
        <f t="shared" si="2"/>
        <v>2022</v>
      </c>
    </row>
    <row r="348">
      <c r="A348" s="1">
        <v>347.0</v>
      </c>
      <c r="B348" s="1" t="s">
        <v>135</v>
      </c>
      <c r="C348" s="1">
        <v>31.0</v>
      </c>
      <c r="D348" s="1" t="s">
        <v>23</v>
      </c>
      <c r="E348" s="1" t="s">
        <v>28</v>
      </c>
      <c r="F348" s="1" t="s">
        <v>32</v>
      </c>
      <c r="G348" s="1">
        <v>9.0</v>
      </c>
      <c r="H348" s="1">
        <v>74393.0</v>
      </c>
      <c r="I348" s="1" t="s">
        <v>51</v>
      </c>
      <c r="J348" s="1" t="s">
        <v>20</v>
      </c>
      <c r="K348" s="1" t="s">
        <v>26</v>
      </c>
      <c r="L348" s="1">
        <v>3.0</v>
      </c>
      <c r="M348" s="3">
        <v>42817.0</v>
      </c>
      <c r="N348" s="4">
        <f t="shared" si="1"/>
        <v>3</v>
      </c>
      <c r="O348" s="4">
        <f t="shared" si="2"/>
        <v>2017</v>
      </c>
    </row>
    <row r="349">
      <c r="A349" s="1">
        <v>348.0</v>
      </c>
      <c r="B349" s="1" t="s">
        <v>76</v>
      </c>
      <c r="C349" s="1">
        <v>52.0</v>
      </c>
      <c r="D349" s="1" t="s">
        <v>23</v>
      </c>
      <c r="E349" s="1" t="s">
        <v>17</v>
      </c>
      <c r="F349" s="1" t="s">
        <v>18</v>
      </c>
      <c r="G349" s="1">
        <v>3.0</v>
      </c>
      <c r="H349" s="1">
        <v>86117.0</v>
      </c>
      <c r="I349" s="1" t="s">
        <v>33</v>
      </c>
      <c r="J349" s="1" t="s">
        <v>29</v>
      </c>
      <c r="K349" s="1" t="s">
        <v>21</v>
      </c>
      <c r="L349" s="1">
        <v>2.0</v>
      </c>
      <c r="M349" s="3">
        <v>45262.0</v>
      </c>
      <c r="N349" s="4">
        <f t="shared" si="1"/>
        <v>12</v>
      </c>
      <c r="O349" s="4">
        <f t="shared" si="2"/>
        <v>2023</v>
      </c>
    </row>
    <row r="350">
      <c r="A350" s="1">
        <v>349.0</v>
      </c>
      <c r="B350" s="1" t="s">
        <v>46</v>
      </c>
      <c r="C350" s="1">
        <v>23.0</v>
      </c>
      <c r="D350" s="1" t="s">
        <v>23</v>
      </c>
      <c r="E350" s="1" t="s">
        <v>39</v>
      </c>
      <c r="F350" s="1" t="s">
        <v>49</v>
      </c>
      <c r="G350" s="1">
        <v>3.0</v>
      </c>
      <c r="H350" s="1">
        <v>49172.0</v>
      </c>
      <c r="I350" s="1" t="s">
        <v>25</v>
      </c>
      <c r="J350" s="1" t="s">
        <v>34</v>
      </c>
      <c r="K350" s="1" t="s">
        <v>26</v>
      </c>
      <c r="L350" s="1">
        <v>5.0</v>
      </c>
      <c r="M350" s="3">
        <v>45281.0</v>
      </c>
      <c r="N350" s="4">
        <f t="shared" si="1"/>
        <v>12</v>
      </c>
      <c r="O350" s="4">
        <f t="shared" si="2"/>
        <v>2023</v>
      </c>
    </row>
    <row r="351">
      <c r="A351" s="1">
        <v>350.0</v>
      </c>
      <c r="B351" s="1" t="s">
        <v>59</v>
      </c>
      <c r="C351" s="1">
        <v>29.0</v>
      </c>
      <c r="D351" s="1" t="s">
        <v>16</v>
      </c>
      <c r="E351" s="1" t="s">
        <v>39</v>
      </c>
      <c r="F351" s="1" t="s">
        <v>49</v>
      </c>
      <c r="G351" s="1">
        <v>11.0</v>
      </c>
      <c r="H351" s="1">
        <v>82371.0</v>
      </c>
      <c r="I351" s="1" t="s">
        <v>25</v>
      </c>
      <c r="J351" s="1" t="s">
        <v>29</v>
      </c>
      <c r="K351" s="1" t="s">
        <v>26</v>
      </c>
      <c r="L351" s="1">
        <v>5.0</v>
      </c>
      <c r="M351" s="3">
        <v>42175.0</v>
      </c>
      <c r="N351" s="4">
        <f t="shared" si="1"/>
        <v>6</v>
      </c>
      <c r="O351" s="4">
        <f t="shared" si="2"/>
        <v>2015</v>
      </c>
    </row>
    <row r="352">
      <c r="A352" s="1">
        <v>351.0</v>
      </c>
      <c r="B352" s="1" t="s">
        <v>122</v>
      </c>
      <c r="C352" s="1">
        <v>38.0</v>
      </c>
      <c r="D352" s="1" t="s">
        <v>16</v>
      </c>
      <c r="E352" s="1" t="s">
        <v>28</v>
      </c>
      <c r="F352" s="1" t="s">
        <v>24</v>
      </c>
      <c r="G352" s="1">
        <v>8.0</v>
      </c>
      <c r="H352" s="1">
        <v>87865.0</v>
      </c>
      <c r="I352" s="1" t="s">
        <v>43</v>
      </c>
      <c r="J352" s="1" t="s">
        <v>20</v>
      </c>
      <c r="K352" s="1" t="s">
        <v>26</v>
      </c>
      <c r="L352" s="1">
        <v>5.0</v>
      </c>
      <c r="M352" s="3">
        <v>43339.0</v>
      </c>
      <c r="N352" s="4">
        <f t="shared" si="1"/>
        <v>8</v>
      </c>
      <c r="O352" s="4">
        <f t="shared" si="2"/>
        <v>2018</v>
      </c>
    </row>
    <row r="353">
      <c r="A353" s="1">
        <v>352.0</v>
      </c>
      <c r="B353" s="1" t="s">
        <v>78</v>
      </c>
      <c r="C353" s="1">
        <v>31.0</v>
      </c>
      <c r="D353" s="1" t="s">
        <v>16</v>
      </c>
      <c r="E353" s="1" t="s">
        <v>36</v>
      </c>
      <c r="F353" s="1" t="s">
        <v>49</v>
      </c>
      <c r="G353" s="1">
        <v>3.0</v>
      </c>
      <c r="H353" s="1">
        <v>52658.0</v>
      </c>
      <c r="I353" s="1" t="s">
        <v>51</v>
      </c>
      <c r="J353" s="1" t="s">
        <v>34</v>
      </c>
      <c r="K353" s="1" t="s">
        <v>26</v>
      </c>
      <c r="L353" s="1">
        <v>2.0</v>
      </c>
      <c r="M353" s="3">
        <v>45011.0</v>
      </c>
      <c r="N353" s="4">
        <f t="shared" si="1"/>
        <v>3</v>
      </c>
      <c r="O353" s="4">
        <f t="shared" si="2"/>
        <v>2023</v>
      </c>
    </row>
    <row r="354">
      <c r="A354" s="1">
        <v>353.0</v>
      </c>
      <c r="B354" s="1" t="s">
        <v>94</v>
      </c>
      <c r="C354" s="1">
        <v>36.0</v>
      </c>
      <c r="D354" s="1" t="s">
        <v>16</v>
      </c>
      <c r="E354" s="1" t="s">
        <v>31</v>
      </c>
      <c r="F354" s="1" t="s">
        <v>24</v>
      </c>
      <c r="G354" s="1">
        <v>0.0</v>
      </c>
      <c r="H354" s="1">
        <v>76684.0</v>
      </c>
      <c r="I354" s="1" t="s">
        <v>38</v>
      </c>
      <c r="J354" s="1" t="s">
        <v>20</v>
      </c>
      <c r="K354" s="1" t="s">
        <v>21</v>
      </c>
      <c r="L354" s="1">
        <v>3.0</v>
      </c>
      <c r="M354" s="3">
        <v>46281.0</v>
      </c>
      <c r="N354" s="4">
        <f t="shared" si="1"/>
        <v>9</v>
      </c>
      <c r="O354" s="4">
        <f t="shared" si="2"/>
        <v>2026</v>
      </c>
    </row>
    <row r="355">
      <c r="A355" s="1">
        <v>354.0</v>
      </c>
      <c r="B355" s="1" t="s">
        <v>96</v>
      </c>
      <c r="C355" s="1">
        <v>45.0</v>
      </c>
      <c r="D355" s="1" t="s">
        <v>16</v>
      </c>
      <c r="E355" s="1" t="s">
        <v>28</v>
      </c>
      <c r="F355" s="1" t="s">
        <v>37</v>
      </c>
      <c r="G355" s="1">
        <v>2.0</v>
      </c>
      <c r="H355" s="1">
        <v>41517.0</v>
      </c>
      <c r="I355" s="1" t="s">
        <v>51</v>
      </c>
      <c r="J355" s="1" t="s">
        <v>20</v>
      </c>
      <c r="K355" s="1" t="s">
        <v>21</v>
      </c>
      <c r="L355" s="1">
        <v>3.0</v>
      </c>
      <c r="M355" s="3">
        <v>45360.0</v>
      </c>
      <c r="N355" s="4">
        <f t="shared" si="1"/>
        <v>3</v>
      </c>
      <c r="O355" s="4">
        <f t="shared" si="2"/>
        <v>2024</v>
      </c>
    </row>
    <row r="356">
      <c r="A356" s="1">
        <v>355.0</v>
      </c>
      <c r="B356" s="1" t="s">
        <v>107</v>
      </c>
      <c r="C356" s="1">
        <v>34.0</v>
      </c>
      <c r="D356" s="1" t="s">
        <v>16</v>
      </c>
      <c r="E356" s="1" t="s">
        <v>31</v>
      </c>
      <c r="F356" s="1" t="s">
        <v>24</v>
      </c>
      <c r="G356" s="1">
        <v>6.0</v>
      </c>
      <c r="H356" s="1">
        <v>88757.0</v>
      </c>
      <c r="I356" s="1" t="s">
        <v>51</v>
      </c>
      <c r="J356" s="1" t="s">
        <v>34</v>
      </c>
      <c r="K356" s="1" t="s">
        <v>21</v>
      </c>
      <c r="L356" s="1">
        <v>4.0</v>
      </c>
      <c r="M356" s="3">
        <v>43888.0</v>
      </c>
      <c r="N356" s="4">
        <f t="shared" si="1"/>
        <v>2</v>
      </c>
      <c r="O356" s="4">
        <f t="shared" si="2"/>
        <v>2020</v>
      </c>
    </row>
    <row r="357">
      <c r="A357" s="1">
        <v>356.0</v>
      </c>
      <c r="B357" s="1" t="s">
        <v>131</v>
      </c>
      <c r="C357" s="1">
        <v>54.0</v>
      </c>
      <c r="D357" s="1" t="s">
        <v>16</v>
      </c>
      <c r="E357" s="1" t="s">
        <v>31</v>
      </c>
      <c r="F357" s="1" t="s">
        <v>32</v>
      </c>
      <c r="G357" s="1">
        <v>14.0</v>
      </c>
      <c r="H357" s="1">
        <v>31803.0</v>
      </c>
      <c r="I357" s="1" t="s">
        <v>19</v>
      </c>
      <c r="J357" s="1" t="s">
        <v>34</v>
      </c>
      <c r="K357" s="1" t="s">
        <v>21</v>
      </c>
      <c r="L357" s="1">
        <v>5.0</v>
      </c>
      <c r="M357" s="3">
        <v>41269.0</v>
      </c>
      <c r="N357" s="4">
        <f t="shared" si="1"/>
        <v>12</v>
      </c>
      <c r="O357" s="4">
        <f t="shared" si="2"/>
        <v>2012</v>
      </c>
    </row>
    <row r="358">
      <c r="A358" s="1">
        <v>357.0</v>
      </c>
      <c r="B358" s="1" t="s">
        <v>109</v>
      </c>
      <c r="C358" s="1">
        <v>24.0</v>
      </c>
      <c r="D358" s="1" t="s">
        <v>16</v>
      </c>
      <c r="E358" s="1" t="s">
        <v>28</v>
      </c>
      <c r="F358" s="1" t="s">
        <v>32</v>
      </c>
      <c r="G358" s="1">
        <v>0.0</v>
      </c>
      <c r="H358" s="1">
        <v>67908.0</v>
      </c>
      <c r="I358" s="1" t="s">
        <v>33</v>
      </c>
      <c r="J358" s="1" t="s">
        <v>34</v>
      </c>
      <c r="K358" s="1" t="s">
        <v>21</v>
      </c>
      <c r="L358" s="1">
        <v>3.0</v>
      </c>
      <c r="M358" s="3">
        <v>46205.0</v>
      </c>
      <c r="N358" s="4">
        <f t="shared" si="1"/>
        <v>7</v>
      </c>
      <c r="O358" s="4">
        <f t="shared" si="2"/>
        <v>2026</v>
      </c>
    </row>
    <row r="359">
      <c r="A359" s="1">
        <v>358.0</v>
      </c>
      <c r="B359" s="1" t="s">
        <v>35</v>
      </c>
      <c r="C359" s="1">
        <v>32.0</v>
      </c>
      <c r="D359" s="1" t="s">
        <v>16</v>
      </c>
      <c r="E359" s="1" t="s">
        <v>42</v>
      </c>
      <c r="F359" s="1" t="s">
        <v>18</v>
      </c>
      <c r="G359" s="1">
        <v>0.0</v>
      </c>
      <c r="H359" s="1">
        <v>38651.0</v>
      </c>
      <c r="I359" s="1" t="s">
        <v>51</v>
      </c>
      <c r="J359" s="1" t="s">
        <v>20</v>
      </c>
      <c r="K359" s="1" t="s">
        <v>26</v>
      </c>
      <c r="L359" s="1">
        <v>3.0</v>
      </c>
      <c r="M359" s="3">
        <v>46093.0</v>
      </c>
      <c r="N359" s="4">
        <f t="shared" si="1"/>
        <v>3</v>
      </c>
      <c r="O359" s="4">
        <f t="shared" si="2"/>
        <v>2026</v>
      </c>
    </row>
    <row r="360">
      <c r="A360" s="1">
        <v>359.0</v>
      </c>
      <c r="B360" s="1" t="s">
        <v>44</v>
      </c>
      <c r="C360" s="1">
        <v>35.0</v>
      </c>
      <c r="D360" s="1" t="s">
        <v>16</v>
      </c>
      <c r="E360" s="1" t="s">
        <v>42</v>
      </c>
      <c r="F360" s="1" t="s">
        <v>24</v>
      </c>
      <c r="G360" s="1">
        <v>12.0</v>
      </c>
      <c r="H360" s="1">
        <v>100382.0</v>
      </c>
      <c r="I360" s="1" t="s">
        <v>33</v>
      </c>
      <c r="J360" s="1" t="s">
        <v>20</v>
      </c>
      <c r="K360" s="1" t="s">
        <v>21</v>
      </c>
      <c r="L360" s="1">
        <v>1.0</v>
      </c>
      <c r="M360" s="3">
        <v>41948.0</v>
      </c>
      <c r="N360" s="4">
        <f t="shared" si="1"/>
        <v>11</v>
      </c>
      <c r="O360" s="4">
        <f t="shared" si="2"/>
        <v>2014</v>
      </c>
    </row>
    <row r="361">
      <c r="A361" s="1">
        <v>360.0</v>
      </c>
      <c r="B361" s="1" t="s">
        <v>30</v>
      </c>
      <c r="C361" s="1">
        <v>26.0</v>
      </c>
      <c r="D361" s="1" t="s">
        <v>16</v>
      </c>
      <c r="E361" s="1" t="s">
        <v>39</v>
      </c>
      <c r="F361" s="1" t="s">
        <v>49</v>
      </c>
      <c r="G361" s="1">
        <v>4.0</v>
      </c>
      <c r="H361" s="1">
        <v>60494.0</v>
      </c>
      <c r="I361" s="1" t="s">
        <v>43</v>
      </c>
      <c r="J361" s="1" t="s">
        <v>20</v>
      </c>
      <c r="K361" s="1" t="s">
        <v>26</v>
      </c>
      <c r="L361" s="1">
        <v>2.0</v>
      </c>
      <c r="M361" s="3">
        <v>44890.0</v>
      </c>
      <c r="N361" s="4">
        <f t="shared" si="1"/>
        <v>11</v>
      </c>
      <c r="O361" s="4">
        <f t="shared" si="2"/>
        <v>2022</v>
      </c>
    </row>
    <row r="362">
      <c r="A362" s="1">
        <v>361.0</v>
      </c>
      <c r="B362" s="1" t="s">
        <v>40</v>
      </c>
      <c r="C362" s="1">
        <v>56.0</v>
      </c>
      <c r="D362" s="1" t="s">
        <v>16</v>
      </c>
      <c r="E362" s="1" t="s">
        <v>39</v>
      </c>
      <c r="F362" s="1" t="s">
        <v>24</v>
      </c>
      <c r="G362" s="1">
        <v>3.0</v>
      </c>
      <c r="H362" s="1">
        <v>101767.0</v>
      </c>
      <c r="I362" s="1" t="s">
        <v>43</v>
      </c>
      <c r="J362" s="1" t="s">
        <v>29</v>
      </c>
      <c r="K362" s="1" t="s">
        <v>21</v>
      </c>
      <c r="L362" s="1">
        <v>3.0</v>
      </c>
      <c r="M362" s="3">
        <v>45074.0</v>
      </c>
      <c r="N362" s="4">
        <f t="shared" si="1"/>
        <v>5</v>
      </c>
      <c r="O362" s="4">
        <f t="shared" si="2"/>
        <v>2023</v>
      </c>
    </row>
    <row r="363">
      <c r="A363" s="1">
        <v>362.0</v>
      </c>
      <c r="B363" s="1" t="s">
        <v>80</v>
      </c>
      <c r="C363" s="1">
        <v>23.0</v>
      </c>
      <c r="D363" s="1" t="s">
        <v>16</v>
      </c>
      <c r="E363" s="1" t="s">
        <v>31</v>
      </c>
      <c r="F363" s="1" t="s">
        <v>37</v>
      </c>
      <c r="G363" s="1">
        <v>12.0</v>
      </c>
      <c r="H363" s="1">
        <v>23760.0</v>
      </c>
      <c r="I363" s="1" t="s">
        <v>51</v>
      </c>
      <c r="J363" s="1" t="s">
        <v>29</v>
      </c>
      <c r="K363" s="1" t="s">
        <v>26</v>
      </c>
      <c r="L363" s="1">
        <v>3.0</v>
      </c>
      <c r="M363" s="3">
        <v>41871.0</v>
      </c>
      <c r="N363" s="4">
        <f t="shared" si="1"/>
        <v>8</v>
      </c>
      <c r="O363" s="4">
        <f t="shared" si="2"/>
        <v>2014</v>
      </c>
    </row>
    <row r="364">
      <c r="A364" s="1">
        <v>363.0</v>
      </c>
      <c r="B364" s="1" t="s">
        <v>54</v>
      </c>
      <c r="C364" s="1">
        <v>60.0</v>
      </c>
      <c r="D364" s="1" t="s">
        <v>23</v>
      </c>
      <c r="E364" s="1" t="s">
        <v>36</v>
      </c>
      <c r="F364" s="1" t="s">
        <v>37</v>
      </c>
      <c r="G364" s="1">
        <v>8.0</v>
      </c>
      <c r="H364" s="1">
        <v>104710.0</v>
      </c>
      <c r="I364" s="1" t="s">
        <v>33</v>
      </c>
      <c r="J364" s="1" t="s">
        <v>29</v>
      </c>
      <c r="K364" s="1" t="s">
        <v>21</v>
      </c>
      <c r="L364" s="1">
        <v>5.0</v>
      </c>
      <c r="M364" s="3">
        <v>43139.0</v>
      </c>
      <c r="N364" s="4">
        <f t="shared" si="1"/>
        <v>2</v>
      </c>
      <c r="O364" s="4">
        <f t="shared" si="2"/>
        <v>2018</v>
      </c>
    </row>
    <row r="365">
      <c r="A365" s="1">
        <v>364.0</v>
      </c>
      <c r="B365" s="1" t="s">
        <v>58</v>
      </c>
      <c r="C365" s="1">
        <v>32.0</v>
      </c>
      <c r="D365" s="1" t="s">
        <v>16</v>
      </c>
      <c r="E365" s="1" t="s">
        <v>36</v>
      </c>
      <c r="F365" s="1" t="s">
        <v>18</v>
      </c>
      <c r="G365" s="1">
        <v>4.0</v>
      </c>
      <c r="H365" s="1">
        <v>71044.0</v>
      </c>
      <c r="I365" s="1" t="s">
        <v>33</v>
      </c>
      <c r="J365" s="1" t="s">
        <v>34</v>
      </c>
      <c r="K365" s="1" t="s">
        <v>26</v>
      </c>
      <c r="L365" s="1">
        <v>4.0</v>
      </c>
      <c r="M365" s="3">
        <v>44602.0</v>
      </c>
      <c r="N365" s="4">
        <f t="shared" si="1"/>
        <v>2</v>
      </c>
      <c r="O365" s="4">
        <f t="shared" si="2"/>
        <v>2022</v>
      </c>
    </row>
    <row r="366">
      <c r="A366" s="1">
        <v>365.0</v>
      </c>
      <c r="B366" s="1" t="s">
        <v>136</v>
      </c>
      <c r="C366" s="1">
        <v>56.0</v>
      </c>
      <c r="D366" s="1" t="s">
        <v>23</v>
      </c>
      <c r="E366" s="1" t="s">
        <v>28</v>
      </c>
      <c r="F366" s="1" t="s">
        <v>37</v>
      </c>
      <c r="G366" s="1">
        <v>11.0</v>
      </c>
      <c r="H366" s="1">
        <v>110221.0</v>
      </c>
      <c r="I366" s="1" t="s">
        <v>19</v>
      </c>
      <c r="J366" s="1" t="s">
        <v>20</v>
      </c>
      <c r="K366" s="1" t="s">
        <v>21</v>
      </c>
      <c r="L366" s="1">
        <v>5.0</v>
      </c>
      <c r="M366" s="3">
        <v>42222.0</v>
      </c>
      <c r="N366" s="4">
        <f t="shared" si="1"/>
        <v>8</v>
      </c>
      <c r="O366" s="4">
        <f t="shared" si="2"/>
        <v>2015</v>
      </c>
    </row>
    <row r="367">
      <c r="A367" s="1">
        <v>366.0</v>
      </c>
      <c r="B367" s="1" t="s">
        <v>129</v>
      </c>
      <c r="C367" s="1">
        <v>25.0</v>
      </c>
      <c r="D367" s="1" t="s">
        <v>16</v>
      </c>
      <c r="E367" s="1" t="s">
        <v>31</v>
      </c>
      <c r="F367" s="1" t="s">
        <v>37</v>
      </c>
      <c r="G367" s="1">
        <v>11.0</v>
      </c>
      <c r="H367" s="1">
        <v>72178.0</v>
      </c>
      <c r="I367" s="1" t="s">
        <v>38</v>
      </c>
      <c r="J367" s="1" t="s">
        <v>20</v>
      </c>
      <c r="K367" s="1" t="s">
        <v>21</v>
      </c>
      <c r="L367" s="1">
        <v>3.0</v>
      </c>
      <c r="M367" s="3">
        <v>42283.0</v>
      </c>
      <c r="N367" s="4">
        <f t="shared" si="1"/>
        <v>10</v>
      </c>
      <c r="O367" s="4">
        <f t="shared" si="2"/>
        <v>2015</v>
      </c>
    </row>
    <row r="368">
      <c r="A368" s="1">
        <v>367.0</v>
      </c>
      <c r="B368" s="1" t="s">
        <v>121</v>
      </c>
      <c r="C368" s="1">
        <v>36.0</v>
      </c>
      <c r="D368" s="1" t="s">
        <v>16</v>
      </c>
      <c r="E368" s="1" t="s">
        <v>36</v>
      </c>
      <c r="F368" s="1" t="s">
        <v>18</v>
      </c>
      <c r="G368" s="1">
        <v>1.0</v>
      </c>
      <c r="H368" s="1">
        <v>100635.0</v>
      </c>
      <c r="I368" s="1" t="s">
        <v>43</v>
      </c>
      <c r="J368" s="1" t="s">
        <v>34</v>
      </c>
      <c r="K368" s="1" t="s">
        <v>26</v>
      </c>
      <c r="L368" s="1">
        <v>3.0</v>
      </c>
      <c r="M368" s="3">
        <v>45696.0</v>
      </c>
      <c r="N368" s="4">
        <f t="shared" si="1"/>
        <v>2</v>
      </c>
      <c r="O368" s="4">
        <f t="shared" si="2"/>
        <v>2025</v>
      </c>
    </row>
    <row r="369">
      <c r="A369" s="1">
        <v>368.0</v>
      </c>
      <c r="B369" s="1" t="s">
        <v>103</v>
      </c>
      <c r="C369" s="1">
        <v>43.0</v>
      </c>
      <c r="D369" s="1" t="s">
        <v>16</v>
      </c>
      <c r="E369" s="1" t="s">
        <v>17</v>
      </c>
      <c r="F369" s="1" t="s">
        <v>18</v>
      </c>
      <c r="G369" s="1">
        <v>12.0</v>
      </c>
      <c r="H369" s="1">
        <v>35956.0</v>
      </c>
      <c r="I369" s="1" t="s">
        <v>51</v>
      </c>
      <c r="J369" s="1" t="s">
        <v>20</v>
      </c>
      <c r="K369" s="1" t="s">
        <v>26</v>
      </c>
      <c r="L369" s="1">
        <v>3.0</v>
      </c>
      <c r="M369" s="3">
        <v>41787.0</v>
      </c>
      <c r="N369" s="4">
        <f t="shared" si="1"/>
        <v>5</v>
      </c>
      <c r="O369" s="4">
        <f t="shared" si="2"/>
        <v>2014</v>
      </c>
    </row>
    <row r="370">
      <c r="A370" s="1">
        <v>369.0</v>
      </c>
      <c r="B370" s="1" t="s">
        <v>132</v>
      </c>
      <c r="C370" s="1">
        <v>48.0</v>
      </c>
      <c r="D370" s="1" t="s">
        <v>16</v>
      </c>
      <c r="E370" s="1" t="s">
        <v>39</v>
      </c>
      <c r="F370" s="1" t="s">
        <v>24</v>
      </c>
      <c r="G370" s="1">
        <v>9.0</v>
      </c>
      <c r="H370" s="1">
        <v>32350.0</v>
      </c>
      <c r="I370" s="1" t="s">
        <v>51</v>
      </c>
      <c r="J370" s="1" t="s">
        <v>34</v>
      </c>
      <c r="K370" s="1" t="s">
        <v>26</v>
      </c>
      <c r="L370" s="1">
        <v>2.0</v>
      </c>
      <c r="M370" s="3">
        <v>42822.0</v>
      </c>
      <c r="N370" s="4">
        <f t="shared" si="1"/>
        <v>3</v>
      </c>
      <c r="O370" s="4">
        <f t="shared" si="2"/>
        <v>2017</v>
      </c>
    </row>
    <row r="371">
      <c r="A371" s="1">
        <v>370.0</v>
      </c>
      <c r="B371" s="1" t="s">
        <v>83</v>
      </c>
      <c r="C371" s="1">
        <v>47.0</v>
      </c>
      <c r="D371" s="1" t="s">
        <v>23</v>
      </c>
      <c r="E371" s="1" t="s">
        <v>31</v>
      </c>
      <c r="F371" s="1" t="s">
        <v>32</v>
      </c>
      <c r="G371" s="1">
        <v>2.0</v>
      </c>
      <c r="H371" s="1">
        <v>110586.0</v>
      </c>
      <c r="I371" s="1" t="s">
        <v>43</v>
      </c>
      <c r="J371" s="1" t="s">
        <v>29</v>
      </c>
      <c r="K371" s="1" t="s">
        <v>21</v>
      </c>
      <c r="L371" s="1">
        <v>2.0</v>
      </c>
      <c r="M371" s="3">
        <v>45526.0</v>
      </c>
      <c r="N371" s="4">
        <f t="shared" si="1"/>
        <v>8</v>
      </c>
      <c r="O371" s="4">
        <f t="shared" si="2"/>
        <v>2024</v>
      </c>
    </row>
    <row r="372">
      <c r="A372" s="1">
        <v>371.0</v>
      </c>
      <c r="B372" s="1" t="s">
        <v>94</v>
      </c>
      <c r="C372" s="1">
        <v>43.0</v>
      </c>
      <c r="D372" s="1" t="s">
        <v>23</v>
      </c>
      <c r="E372" s="1" t="s">
        <v>31</v>
      </c>
      <c r="F372" s="1" t="s">
        <v>37</v>
      </c>
      <c r="G372" s="1">
        <v>7.0</v>
      </c>
      <c r="H372" s="1">
        <v>66035.0</v>
      </c>
      <c r="I372" s="1" t="s">
        <v>33</v>
      </c>
      <c r="J372" s="1" t="s">
        <v>20</v>
      </c>
      <c r="K372" s="1" t="s">
        <v>26</v>
      </c>
      <c r="L372" s="1">
        <v>3.0</v>
      </c>
      <c r="M372" s="3">
        <v>43651.0</v>
      </c>
      <c r="N372" s="4">
        <f t="shared" si="1"/>
        <v>7</v>
      </c>
      <c r="O372" s="4">
        <f t="shared" si="2"/>
        <v>2019</v>
      </c>
    </row>
    <row r="373">
      <c r="A373" s="1">
        <v>372.0</v>
      </c>
      <c r="B373" s="1" t="s">
        <v>132</v>
      </c>
      <c r="C373" s="1">
        <v>48.0</v>
      </c>
      <c r="D373" s="1" t="s">
        <v>23</v>
      </c>
      <c r="E373" s="1" t="s">
        <v>39</v>
      </c>
      <c r="F373" s="1" t="s">
        <v>18</v>
      </c>
      <c r="G373" s="1">
        <v>14.0</v>
      </c>
      <c r="H373" s="1">
        <v>102110.0</v>
      </c>
      <c r="I373" s="1" t="s">
        <v>51</v>
      </c>
      <c r="J373" s="1" t="s">
        <v>29</v>
      </c>
      <c r="K373" s="1" t="s">
        <v>21</v>
      </c>
      <c r="L373" s="1">
        <v>5.0</v>
      </c>
      <c r="M373" s="3">
        <v>40944.0</v>
      </c>
      <c r="N373" s="4">
        <f t="shared" si="1"/>
        <v>2</v>
      </c>
      <c r="O373" s="4">
        <f t="shared" si="2"/>
        <v>2012</v>
      </c>
    </row>
    <row r="374">
      <c r="A374" s="1">
        <v>373.0</v>
      </c>
      <c r="B374" s="1" t="s">
        <v>129</v>
      </c>
      <c r="C374" s="1">
        <v>27.0</v>
      </c>
      <c r="D374" s="1" t="s">
        <v>23</v>
      </c>
      <c r="E374" s="1" t="s">
        <v>17</v>
      </c>
      <c r="F374" s="1" t="s">
        <v>37</v>
      </c>
      <c r="G374" s="1">
        <v>1.0</v>
      </c>
      <c r="H374" s="1">
        <v>57379.0</v>
      </c>
      <c r="I374" s="1" t="s">
        <v>19</v>
      </c>
      <c r="J374" s="1" t="s">
        <v>20</v>
      </c>
      <c r="K374" s="1" t="s">
        <v>21</v>
      </c>
      <c r="L374" s="1">
        <v>5.0</v>
      </c>
      <c r="M374" s="3">
        <v>45824.0</v>
      </c>
      <c r="N374" s="4">
        <f t="shared" si="1"/>
        <v>6</v>
      </c>
      <c r="O374" s="4">
        <f t="shared" si="2"/>
        <v>2025</v>
      </c>
    </row>
    <row r="375">
      <c r="A375" s="1">
        <v>374.0</v>
      </c>
      <c r="B375" s="1" t="s">
        <v>133</v>
      </c>
      <c r="C375" s="1">
        <v>57.0</v>
      </c>
      <c r="D375" s="1" t="s">
        <v>23</v>
      </c>
      <c r="E375" s="1" t="s">
        <v>42</v>
      </c>
      <c r="F375" s="1" t="s">
        <v>24</v>
      </c>
      <c r="G375" s="1">
        <v>2.0</v>
      </c>
      <c r="H375" s="1">
        <v>54737.0</v>
      </c>
      <c r="I375" s="1" t="s">
        <v>25</v>
      </c>
      <c r="J375" s="1" t="s">
        <v>20</v>
      </c>
      <c r="K375" s="1" t="s">
        <v>21</v>
      </c>
      <c r="L375" s="1">
        <v>3.0</v>
      </c>
      <c r="M375" s="3">
        <v>45587.0</v>
      </c>
      <c r="N375" s="4">
        <f t="shared" si="1"/>
        <v>10</v>
      </c>
      <c r="O375" s="4">
        <f t="shared" si="2"/>
        <v>2024</v>
      </c>
    </row>
    <row r="376">
      <c r="A376" s="1">
        <v>375.0</v>
      </c>
      <c r="B376" s="1" t="s">
        <v>44</v>
      </c>
      <c r="C376" s="1">
        <v>45.0</v>
      </c>
      <c r="D376" s="1" t="s">
        <v>16</v>
      </c>
      <c r="E376" s="1" t="s">
        <v>31</v>
      </c>
      <c r="F376" s="1" t="s">
        <v>49</v>
      </c>
      <c r="G376" s="1">
        <v>12.0</v>
      </c>
      <c r="H376" s="1">
        <v>27485.0</v>
      </c>
      <c r="I376" s="1" t="s">
        <v>43</v>
      </c>
      <c r="J376" s="1" t="s">
        <v>29</v>
      </c>
      <c r="K376" s="1" t="s">
        <v>21</v>
      </c>
      <c r="L376" s="1">
        <v>2.0</v>
      </c>
      <c r="M376" s="3">
        <v>41950.0</v>
      </c>
      <c r="N376" s="4">
        <f t="shared" si="1"/>
        <v>11</v>
      </c>
      <c r="O376" s="4">
        <f t="shared" si="2"/>
        <v>2014</v>
      </c>
    </row>
    <row r="377">
      <c r="A377" s="1">
        <v>376.0</v>
      </c>
      <c r="B377" s="1" t="s">
        <v>90</v>
      </c>
      <c r="C377" s="1">
        <v>45.0</v>
      </c>
      <c r="D377" s="1" t="s">
        <v>23</v>
      </c>
      <c r="E377" s="1" t="s">
        <v>28</v>
      </c>
      <c r="F377" s="1" t="s">
        <v>49</v>
      </c>
      <c r="G377" s="1">
        <v>1.0</v>
      </c>
      <c r="H377" s="1">
        <v>36646.0</v>
      </c>
      <c r="I377" s="1" t="s">
        <v>38</v>
      </c>
      <c r="J377" s="1" t="s">
        <v>29</v>
      </c>
      <c r="K377" s="1" t="s">
        <v>21</v>
      </c>
      <c r="L377" s="1">
        <v>2.0</v>
      </c>
      <c r="M377" s="3">
        <v>45847.0</v>
      </c>
      <c r="N377" s="4">
        <f t="shared" si="1"/>
        <v>7</v>
      </c>
      <c r="O377" s="4">
        <f t="shared" si="2"/>
        <v>2025</v>
      </c>
    </row>
    <row r="378">
      <c r="A378" s="1">
        <v>377.0</v>
      </c>
      <c r="B378" s="1" t="s">
        <v>134</v>
      </c>
      <c r="C378" s="1">
        <v>21.0</v>
      </c>
      <c r="D378" s="1" t="s">
        <v>23</v>
      </c>
      <c r="E378" s="1" t="s">
        <v>36</v>
      </c>
      <c r="F378" s="1" t="s">
        <v>18</v>
      </c>
      <c r="G378" s="1">
        <v>8.0</v>
      </c>
      <c r="H378" s="1">
        <v>41102.0</v>
      </c>
      <c r="I378" s="1" t="s">
        <v>38</v>
      </c>
      <c r="J378" s="1" t="s">
        <v>20</v>
      </c>
      <c r="K378" s="1" t="s">
        <v>26</v>
      </c>
      <c r="L378" s="1">
        <v>2.0</v>
      </c>
      <c r="M378" s="3">
        <v>43267.0</v>
      </c>
      <c r="N378" s="4">
        <f t="shared" si="1"/>
        <v>6</v>
      </c>
      <c r="O378" s="4">
        <f t="shared" si="2"/>
        <v>2018</v>
      </c>
    </row>
    <row r="379">
      <c r="A379" s="1">
        <v>378.0</v>
      </c>
      <c r="B379" s="1" t="s">
        <v>85</v>
      </c>
      <c r="C379" s="1">
        <v>49.0</v>
      </c>
      <c r="D379" s="1" t="s">
        <v>16</v>
      </c>
      <c r="E379" s="1" t="s">
        <v>31</v>
      </c>
      <c r="F379" s="1" t="s">
        <v>37</v>
      </c>
      <c r="G379" s="1">
        <v>10.0</v>
      </c>
      <c r="H379" s="1">
        <v>89782.0</v>
      </c>
      <c r="I379" s="1" t="s">
        <v>38</v>
      </c>
      <c r="J379" s="1" t="s">
        <v>20</v>
      </c>
      <c r="K379" s="1" t="s">
        <v>26</v>
      </c>
      <c r="L379" s="1">
        <v>3.0</v>
      </c>
      <c r="M379" s="3">
        <v>42453.0</v>
      </c>
      <c r="N379" s="4">
        <f t="shared" si="1"/>
        <v>3</v>
      </c>
      <c r="O379" s="4">
        <f t="shared" si="2"/>
        <v>2016</v>
      </c>
    </row>
    <row r="380">
      <c r="A380" s="1">
        <v>379.0</v>
      </c>
      <c r="B380" s="1" t="s">
        <v>63</v>
      </c>
      <c r="C380" s="1">
        <v>51.0</v>
      </c>
      <c r="D380" s="1" t="s">
        <v>16</v>
      </c>
      <c r="E380" s="1" t="s">
        <v>17</v>
      </c>
      <c r="F380" s="1" t="s">
        <v>37</v>
      </c>
      <c r="G380" s="1">
        <v>8.0</v>
      </c>
      <c r="H380" s="1">
        <v>96997.0</v>
      </c>
      <c r="I380" s="1" t="s">
        <v>51</v>
      </c>
      <c r="J380" s="1" t="s">
        <v>20</v>
      </c>
      <c r="K380" s="1" t="s">
        <v>21</v>
      </c>
      <c r="L380" s="1">
        <v>2.0</v>
      </c>
      <c r="M380" s="3">
        <v>43214.0</v>
      </c>
      <c r="N380" s="4">
        <f t="shared" si="1"/>
        <v>4</v>
      </c>
      <c r="O380" s="4">
        <f t="shared" si="2"/>
        <v>2018</v>
      </c>
    </row>
    <row r="381">
      <c r="A381" s="1">
        <v>380.0</v>
      </c>
      <c r="B381" s="1" t="s">
        <v>60</v>
      </c>
      <c r="C381" s="1">
        <v>40.0</v>
      </c>
      <c r="D381" s="1" t="s">
        <v>16</v>
      </c>
      <c r="E381" s="1" t="s">
        <v>28</v>
      </c>
      <c r="F381" s="1" t="s">
        <v>18</v>
      </c>
      <c r="G381" s="1">
        <v>9.0</v>
      </c>
      <c r="H381" s="1">
        <v>100781.0</v>
      </c>
      <c r="I381" s="1" t="s">
        <v>25</v>
      </c>
      <c r="J381" s="1" t="s">
        <v>29</v>
      </c>
      <c r="K381" s="1" t="s">
        <v>26</v>
      </c>
      <c r="L381" s="1">
        <v>4.0</v>
      </c>
      <c r="M381" s="3">
        <v>42853.0</v>
      </c>
      <c r="N381" s="4">
        <f t="shared" si="1"/>
        <v>4</v>
      </c>
      <c r="O381" s="4">
        <f t="shared" si="2"/>
        <v>2017</v>
      </c>
    </row>
    <row r="382">
      <c r="A382" s="1">
        <v>381.0</v>
      </c>
      <c r="B382" s="1" t="s">
        <v>115</v>
      </c>
      <c r="C382" s="1">
        <v>42.0</v>
      </c>
      <c r="D382" s="1" t="s">
        <v>23</v>
      </c>
      <c r="E382" s="1" t="s">
        <v>31</v>
      </c>
      <c r="F382" s="1" t="s">
        <v>32</v>
      </c>
      <c r="G382" s="1">
        <v>9.0</v>
      </c>
      <c r="H382" s="1">
        <v>25922.0</v>
      </c>
      <c r="I382" s="1" t="s">
        <v>33</v>
      </c>
      <c r="J382" s="1" t="s">
        <v>20</v>
      </c>
      <c r="K382" s="1" t="s">
        <v>26</v>
      </c>
      <c r="L382" s="1">
        <v>4.0</v>
      </c>
      <c r="M382" s="3">
        <v>42784.0</v>
      </c>
      <c r="N382" s="4">
        <f t="shared" si="1"/>
        <v>2</v>
      </c>
      <c r="O382" s="4">
        <f t="shared" si="2"/>
        <v>2017</v>
      </c>
    </row>
    <row r="383">
      <c r="A383" s="1">
        <v>382.0</v>
      </c>
      <c r="B383" s="1" t="s">
        <v>61</v>
      </c>
      <c r="C383" s="1">
        <v>51.0</v>
      </c>
      <c r="D383" s="1" t="s">
        <v>16</v>
      </c>
      <c r="E383" s="1" t="s">
        <v>36</v>
      </c>
      <c r="F383" s="1" t="s">
        <v>49</v>
      </c>
      <c r="G383" s="1">
        <v>1.0</v>
      </c>
      <c r="H383" s="1">
        <v>117850.0</v>
      </c>
      <c r="I383" s="1" t="s">
        <v>19</v>
      </c>
      <c r="J383" s="1" t="s">
        <v>34</v>
      </c>
      <c r="K383" s="1" t="s">
        <v>21</v>
      </c>
      <c r="L383" s="1">
        <v>2.0</v>
      </c>
      <c r="M383" s="3">
        <v>45728.0</v>
      </c>
      <c r="N383" s="4">
        <f t="shared" si="1"/>
        <v>3</v>
      </c>
      <c r="O383" s="4">
        <f t="shared" si="2"/>
        <v>2025</v>
      </c>
    </row>
    <row r="384">
      <c r="A384" s="1">
        <v>383.0</v>
      </c>
      <c r="B384" s="1" t="s">
        <v>60</v>
      </c>
      <c r="C384" s="1">
        <v>51.0</v>
      </c>
      <c r="D384" s="1" t="s">
        <v>23</v>
      </c>
      <c r="E384" s="1" t="s">
        <v>36</v>
      </c>
      <c r="F384" s="1" t="s">
        <v>18</v>
      </c>
      <c r="G384" s="1">
        <v>15.0</v>
      </c>
      <c r="H384" s="1">
        <v>72150.0</v>
      </c>
      <c r="I384" s="1" t="s">
        <v>33</v>
      </c>
      <c r="J384" s="1" t="s">
        <v>29</v>
      </c>
      <c r="K384" s="1" t="s">
        <v>21</v>
      </c>
      <c r="L384" s="1">
        <v>1.0</v>
      </c>
      <c r="M384" s="3">
        <v>40594.0</v>
      </c>
      <c r="N384" s="4">
        <f t="shared" si="1"/>
        <v>2</v>
      </c>
      <c r="O384" s="4">
        <f t="shared" si="2"/>
        <v>2011</v>
      </c>
    </row>
    <row r="385">
      <c r="A385" s="1">
        <v>384.0</v>
      </c>
      <c r="B385" s="1" t="s">
        <v>86</v>
      </c>
      <c r="C385" s="1">
        <v>42.0</v>
      </c>
      <c r="D385" s="1" t="s">
        <v>23</v>
      </c>
      <c r="E385" s="1" t="s">
        <v>42</v>
      </c>
      <c r="F385" s="1" t="s">
        <v>24</v>
      </c>
      <c r="G385" s="1">
        <v>4.0</v>
      </c>
      <c r="H385" s="1">
        <v>30340.0</v>
      </c>
      <c r="I385" s="1" t="s">
        <v>25</v>
      </c>
      <c r="J385" s="1" t="s">
        <v>29</v>
      </c>
      <c r="K385" s="1" t="s">
        <v>26</v>
      </c>
      <c r="L385" s="1">
        <v>5.0</v>
      </c>
      <c r="M385" s="3">
        <v>44585.0</v>
      </c>
      <c r="N385" s="4">
        <f t="shared" si="1"/>
        <v>1</v>
      </c>
      <c r="O385" s="4">
        <f t="shared" si="2"/>
        <v>2022</v>
      </c>
    </row>
    <row r="386">
      <c r="A386" s="1">
        <v>385.0</v>
      </c>
      <c r="B386" s="1" t="s">
        <v>107</v>
      </c>
      <c r="C386" s="1">
        <v>60.0</v>
      </c>
      <c r="D386" s="1" t="s">
        <v>23</v>
      </c>
      <c r="E386" s="1" t="s">
        <v>17</v>
      </c>
      <c r="F386" s="1" t="s">
        <v>49</v>
      </c>
      <c r="G386" s="1">
        <v>12.0</v>
      </c>
      <c r="H386" s="1">
        <v>38129.0</v>
      </c>
      <c r="I386" s="1" t="s">
        <v>38</v>
      </c>
      <c r="J386" s="1" t="s">
        <v>34</v>
      </c>
      <c r="K386" s="1" t="s">
        <v>21</v>
      </c>
      <c r="L386" s="1">
        <v>3.0</v>
      </c>
      <c r="M386" s="3">
        <v>41981.0</v>
      </c>
      <c r="N386" s="4">
        <f t="shared" si="1"/>
        <v>12</v>
      </c>
      <c r="O386" s="4">
        <f t="shared" si="2"/>
        <v>2014</v>
      </c>
    </row>
    <row r="387">
      <c r="A387" s="1">
        <v>386.0</v>
      </c>
      <c r="B387" s="1" t="s">
        <v>81</v>
      </c>
      <c r="C387" s="1">
        <v>41.0</v>
      </c>
      <c r="D387" s="1" t="s">
        <v>23</v>
      </c>
      <c r="E387" s="1" t="s">
        <v>42</v>
      </c>
      <c r="F387" s="1" t="s">
        <v>32</v>
      </c>
      <c r="G387" s="1">
        <v>7.0</v>
      </c>
      <c r="H387" s="1">
        <v>23809.0</v>
      </c>
      <c r="I387" s="1" t="s">
        <v>33</v>
      </c>
      <c r="J387" s="1" t="s">
        <v>34</v>
      </c>
      <c r="K387" s="1" t="s">
        <v>26</v>
      </c>
      <c r="L387" s="1">
        <v>3.0</v>
      </c>
      <c r="M387" s="3">
        <v>43559.0</v>
      </c>
      <c r="N387" s="4">
        <f t="shared" si="1"/>
        <v>4</v>
      </c>
      <c r="O387" s="4">
        <f t="shared" si="2"/>
        <v>2019</v>
      </c>
    </row>
    <row r="388">
      <c r="A388" s="1">
        <v>387.0</v>
      </c>
      <c r="B388" s="1" t="s">
        <v>48</v>
      </c>
      <c r="C388" s="1">
        <v>44.0</v>
      </c>
      <c r="D388" s="1" t="s">
        <v>23</v>
      </c>
      <c r="E388" s="1" t="s">
        <v>39</v>
      </c>
      <c r="F388" s="1" t="s">
        <v>49</v>
      </c>
      <c r="G388" s="1">
        <v>7.0</v>
      </c>
      <c r="H388" s="1">
        <v>117510.0</v>
      </c>
      <c r="I388" s="1" t="s">
        <v>33</v>
      </c>
      <c r="J388" s="1" t="s">
        <v>34</v>
      </c>
      <c r="K388" s="1" t="s">
        <v>21</v>
      </c>
      <c r="L388" s="1">
        <v>5.0</v>
      </c>
      <c r="M388" s="3">
        <v>43670.0</v>
      </c>
      <c r="N388" s="4">
        <f t="shared" si="1"/>
        <v>7</v>
      </c>
      <c r="O388" s="4">
        <f t="shared" si="2"/>
        <v>2019</v>
      </c>
    </row>
    <row r="389">
      <c r="A389" s="1">
        <v>388.0</v>
      </c>
      <c r="B389" s="1" t="s">
        <v>137</v>
      </c>
      <c r="C389" s="1">
        <v>51.0</v>
      </c>
      <c r="D389" s="1" t="s">
        <v>16</v>
      </c>
      <c r="E389" s="1" t="s">
        <v>42</v>
      </c>
      <c r="F389" s="1" t="s">
        <v>32</v>
      </c>
      <c r="G389" s="1">
        <v>8.0</v>
      </c>
      <c r="H389" s="1">
        <v>76661.0</v>
      </c>
      <c r="I389" s="1" t="s">
        <v>38</v>
      </c>
      <c r="J389" s="1" t="s">
        <v>34</v>
      </c>
      <c r="K389" s="1" t="s">
        <v>21</v>
      </c>
      <c r="L389" s="1">
        <v>2.0</v>
      </c>
      <c r="M389" s="3">
        <v>43145.0</v>
      </c>
      <c r="N389" s="4">
        <f t="shared" si="1"/>
        <v>2</v>
      </c>
      <c r="O389" s="4">
        <f t="shared" si="2"/>
        <v>2018</v>
      </c>
    </row>
    <row r="390">
      <c r="A390" s="1">
        <v>389.0</v>
      </c>
      <c r="B390" s="1" t="s">
        <v>98</v>
      </c>
      <c r="C390" s="1">
        <v>40.0</v>
      </c>
      <c r="D390" s="1" t="s">
        <v>23</v>
      </c>
      <c r="E390" s="1" t="s">
        <v>28</v>
      </c>
      <c r="F390" s="1" t="s">
        <v>18</v>
      </c>
      <c r="G390" s="1">
        <v>3.0</v>
      </c>
      <c r="H390" s="1">
        <v>101659.0</v>
      </c>
      <c r="I390" s="1" t="s">
        <v>43</v>
      </c>
      <c r="J390" s="1" t="s">
        <v>29</v>
      </c>
      <c r="K390" s="1" t="s">
        <v>21</v>
      </c>
      <c r="L390" s="1">
        <v>2.0</v>
      </c>
      <c r="M390" s="3">
        <v>44944.0</v>
      </c>
      <c r="N390" s="4">
        <f t="shared" si="1"/>
        <v>1</v>
      </c>
      <c r="O390" s="4">
        <f t="shared" si="2"/>
        <v>2023</v>
      </c>
    </row>
    <row r="391">
      <c r="A391" s="1">
        <v>390.0</v>
      </c>
      <c r="B391" s="1" t="s">
        <v>44</v>
      </c>
      <c r="C391" s="1">
        <v>30.0</v>
      </c>
      <c r="D391" s="1" t="s">
        <v>16</v>
      </c>
      <c r="E391" s="1" t="s">
        <v>39</v>
      </c>
      <c r="F391" s="1" t="s">
        <v>49</v>
      </c>
      <c r="G391" s="1">
        <v>0.0</v>
      </c>
      <c r="H391" s="1">
        <v>103511.0</v>
      </c>
      <c r="I391" s="1" t="s">
        <v>43</v>
      </c>
      <c r="J391" s="1" t="s">
        <v>34</v>
      </c>
      <c r="K391" s="1" t="s">
        <v>21</v>
      </c>
      <c r="L391" s="1">
        <v>1.0</v>
      </c>
      <c r="M391" s="3">
        <v>46378.0</v>
      </c>
      <c r="N391" s="4">
        <f t="shared" si="1"/>
        <v>12</v>
      </c>
      <c r="O391" s="4">
        <f t="shared" si="2"/>
        <v>2026</v>
      </c>
    </row>
    <row r="392">
      <c r="A392" s="1">
        <v>391.0</v>
      </c>
      <c r="B392" s="1" t="s">
        <v>68</v>
      </c>
      <c r="C392" s="1">
        <v>47.0</v>
      </c>
      <c r="D392" s="1" t="s">
        <v>16</v>
      </c>
      <c r="E392" s="1" t="s">
        <v>31</v>
      </c>
      <c r="F392" s="1" t="s">
        <v>32</v>
      </c>
      <c r="G392" s="1">
        <v>4.0</v>
      </c>
      <c r="H392" s="1">
        <v>56302.0</v>
      </c>
      <c r="I392" s="1" t="s">
        <v>38</v>
      </c>
      <c r="J392" s="1" t="s">
        <v>29</v>
      </c>
      <c r="K392" s="1" t="s">
        <v>26</v>
      </c>
      <c r="L392" s="1">
        <v>4.0</v>
      </c>
      <c r="M392" s="3">
        <v>44582.0</v>
      </c>
      <c r="N392" s="4">
        <f t="shared" si="1"/>
        <v>1</v>
      </c>
      <c r="O392" s="4">
        <f t="shared" si="2"/>
        <v>2022</v>
      </c>
    </row>
    <row r="393">
      <c r="A393" s="1">
        <v>392.0</v>
      </c>
      <c r="B393" s="1" t="s">
        <v>41</v>
      </c>
      <c r="C393" s="1">
        <v>55.0</v>
      </c>
      <c r="D393" s="1" t="s">
        <v>23</v>
      </c>
      <c r="E393" s="1" t="s">
        <v>17</v>
      </c>
      <c r="F393" s="1" t="s">
        <v>37</v>
      </c>
      <c r="G393" s="1">
        <v>10.0</v>
      </c>
      <c r="H393" s="1">
        <v>35557.0</v>
      </c>
      <c r="I393" s="1" t="s">
        <v>19</v>
      </c>
      <c r="J393" s="1" t="s">
        <v>29</v>
      </c>
      <c r="K393" s="1" t="s">
        <v>21</v>
      </c>
      <c r="L393" s="1">
        <v>1.0</v>
      </c>
      <c r="M393" s="3">
        <v>42482.0</v>
      </c>
      <c r="N393" s="4">
        <f t="shared" si="1"/>
        <v>4</v>
      </c>
      <c r="O393" s="4">
        <f t="shared" si="2"/>
        <v>2016</v>
      </c>
    </row>
    <row r="394">
      <c r="A394" s="1">
        <v>393.0</v>
      </c>
      <c r="B394" s="1" t="s">
        <v>30</v>
      </c>
      <c r="C394" s="1">
        <v>34.0</v>
      </c>
      <c r="D394" s="1" t="s">
        <v>16</v>
      </c>
      <c r="E394" s="1" t="s">
        <v>36</v>
      </c>
      <c r="F394" s="1" t="s">
        <v>32</v>
      </c>
      <c r="G394" s="1">
        <v>1.0</v>
      </c>
      <c r="H394" s="1">
        <v>94275.0</v>
      </c>
      <c r="I394" s="1" t="s">
        <v>25</v>
      </c>
      <c r="J394" s="1" t="s">
        <v>20</v>
      </c>
      <c r="K394" s="1" t="s">
        <v>26</v>
      </c>
      <c r="L394" s="1">
        <v>2.0</v>
      </c>
      <c r="M394" s="3">
        <v>45845.0</v>
      </c>
      <c r="N394" s="4">
        <f t="shared" si="1"/>
        <v>7</v>
      </c>
      <c r="O394" s="4">
        <f t="shared" si="2"/>
        <v>2025</v>
      </c>
    </row>
    <row r="395">
      <c r="A395" s="1">
        <v>394.0</v>
      </c>
      <c r="B395" s="1" t="s">
        <v>47</v>
      </c>
      <c r="C395" s="1">
        <v>45.0</v>
      </c>
      <c r="D395" s="1" t="s">
        <v>23</v>
      </c>
      <c r="E395" s="1" t="s">
        <v>28</v>
      </c>
      <c r="F395" s="1" t="s">
        <v>32</v>
      </c>
      <c r="G395" s="1">
        <v>11.0</v>
      </c>
      <c r="H395" s="1">
        <v>54171.0</v>
      </c>
      <c r="I395" s="1" t="s">
        <v>43</v>
      </c>
      <c r="J395" s="1" t="s">
        <v>29</v>
      </c>
      <c r="K395" s="1" t="s">
        <v>21</v>
      </c>
      <c r="L395" s="1">
        <v>3.0</v>
      </c>
      <c r="M395" s="3">
        <v>42309.0</v>
      </c>
      <c r="N395" s="4">
        <f t="shared" si="1"/>
        <v>11</v>
      </c>
      <c r="O395" s="4">
        <f t="shared" si="2"/>
        <v>2015</v>
      </c>
    </row>
    <row r="396">
      <c r="A396" s="1">
        <v>395.0</v>
      </c>
      <c r="B396" s="1" t="s">
        <v>103</v>
      </c>
      <c r="C396" s="1">
        <v>45.0</v>
      </c>
      <c r="D396" s="1" t="s">
        <v>16</v>
      </c>
      <c r="E396" s="1" t="s">
        <v>28</v>
      </c>
      <c r="F396" s="1" t="s">
        <v>24</v>
      </c>
      <c r="G396" s="1">
        <v>1.0</v>
      </c>
      <c r="H396" s="1">
        <v>56853.0</v>
      </c>
      <c r="I396" s="1" t="s">
        <v>25</v>
      </c>
      <c r="J396" s="1" t="s">
        <v>29</v>
      </c>
      <c r="K396" s="1" t="s">
        <v>21</v>
      </c>
      <c r="L396" s="1">
        <v>5.0</v>
      </c>
      <c r="M396" s="3">
        <v>45933.0</v>
      </c>
      <c r="N396" s="4">
        <f t="shared" si="1"/>
        <v>10</v>
      </c>
      <c r="O396" s="4">
        <f t="shared" si="2"/>
        <v>2025</v>
      </c>
    </row>
    <row r="397">
      <c r="A397" s="1">
        <v>396.0</v>
      </c>
      <c r="B397" s="1" t="s">
        <v>80</v>
      </c>
      <c r="C397" s="1">
        <v>34.0</v>
      </c>
      <c r="D397" s="1" t="s">
        <v>16</v>
      </c>
      <c r="E397" s="1" t="s">
        <v>36</v>
      </c>
      <c r="F397" s="1" t="s">
        <v>24</v>
      </c>
      <c r="G397" s="1">
        <v>2.0</v>
      </c>
      <c r="H397" s="1">
        <v>47322.0</v>
      </c>
      <c r="I397" s="1" t="s">
        <v>19</v>
      </c>
      <c r="J397" s="1" t="s">
        <v>20</v>
      </c>
      <c r="K397" s="1" t="s">
        <v>26</v>
      </c>
      <c r="L397" s="1">
        <v>1.0</v>
      </c>
      <c r="M397" s="3">
        <v>45532.0</v>
      </c>
      <c r="N397" s="4">
        <f t="shared" si="1"/>
        <v>8</v>
      </c>
      <c r="O397" s="4">
        <f t="shared" si="2"/>
        <v>2024</v>
      </c>
    </row>
    <row r="398">
      <c r="A398" s="1">
        <v>397.0</v>
      </c>
      <c r="B398" s="1" t="s">
        <v>86</v>
      </c>
      <c r="C398" s="1">
        <v>29.0</v>
      </c>
      <c r="D398" s="1" t="s">
        <v>23</v>
      </c>
      <c r="E398" s="1" t="s">
        <v>17</v>
      </c>
      <c r="F398" s="1" t="s">
        <v>49</v>
      </c>
      <c r="G398" s="1">
        <v>9.0</v>
      </c>
      <c r="H398" s="1">
        <v>104600.0</v>
      </c>
      <c r="I398" s="1" t="s">
        <v>38</v>
      </c>
      <c r="J398" s="1" t="s">
        <v>29</v>
      </c>
      <c r="K398" s="1" t="s">
        <v>26</v>
      </c>
      <c r="L398" s="1">
        <v>2.0</v>
      </c>
      <c r="M398" s="3">
        <v>42790.0</v>
      </c>
      <c r="N398" s="4">
        <f t="shared" si="1"/>
        <v>2</v>
      </c>
      <c r="O398" s="4">
        <f t="shared" si="2"/>
        <v>2017</v>
      </c>
    </row>
    <row r="399">
      <c r="A399" s="1">
        <v>398.0</v>
      </c>
      <c r="B399" s="1" t="s">
        <v>116</v>
      </c>
      <c r="C399" s="1">
        <v>42.0</v>
      </c>
      <c r="D399" s="1" t="s">
        <v>16</v>
      </c>
      <c r="E399" s="1" t="s">
        <v>28</v>
      </c>
      <c r="F399" s="1" t="s">
        <v>24</v>
      </c>
      <c r="G399" s="1">
        <v>14.0</v>
      </c>
      <c r="H399" s="1">
        <v>91174.0</v>
      </c>
      <c r="I399" s="1" t="s">
        <v>38</v>
      </c>
      <c r="J399" s="1" t="s">
        <v>29</v>
      </c>
      <c r="K399" s="1" t="s">
        <v>21</v>
      </c>
      <c r="L399" s="1">
        <v>3.0</v>
      </c>
      <c r="M399" s="3">
        <v>40981.0</v>
      </c>
      <c r="N399" s="4">
        <f t="shared" si="1"/>
        <v>3</v>
      </c>
      <c r="O399" s="4">
        <f t="shared" si="2"/>
        <v>2012</v>
      </c>
    </row>
    <row r="400">
      <c r="A400" s="1">
        <v>399.0</v>
      </c>
      <c r="B400" s="1" t="s">
        <v>105</v>
      </c>
      <c r="C400" s="1">
        <v>55.0</v>
      </c>
      <c r="D400" s="1" t="s">
        <v>16</v>
      </c>
      <c r="E400" s="1" t="s">
        <v>42</v>
      </c>
      <c r="F400" s="1" t="s">
        <v>18</v>
      </c>
      <c r="G400" s="1">
        <v>13.0</v>
      </c>
      <c r="H400" s="1">
        <v>58667.0</v>
      </c>
      <c r="I400" s="1" t="s">
        <v>19</v>
      </c>
      <c r="J400" s="1" t="s">
        <v>34</v>
      </c>
      <c r="K400" s="1" t="s">
        <v>26</v>
      </c>
      <c r="L400" s="1">
        <v>3.0</v>
      </c>
      <c r="M400" s="3">
        <v>41408.0</v>
      </c>
      <c r="N400" s="4">
        <f t="shared" si="1"/>
        <v>5</v>
      </c>
      <c r="O400" s="4">
        <f t="shared" si="2"/>
        <v>2013</v>
      </c>
    </row>
    <row r="401">
      <c r="A401" s="1">
        <v>400.0</v>
      </c>
      <c r="B401" s="1" t="s">
        <v>126</v>
      </c>
      <c r="C401" s="1">
        <v>35.0</v>
      </c>
      <c r="D401" s="1" t="s">
        <v>23</v>
      </c>
      <c r="E401" s="1" t="s">
        <v>17</v>
      </c>
      <c r="F401" s="1" t="s">
        <v>32</v>
      </c>
      <c r="G401" s="1">
        <v>10.0</v>
      </c>
      <c r="H401" s="1">
        <v>20648.0</v>
      </c>
      <c r="I401" s="1" t="s">
        <v>43</v>
      </c>
      <c r="J401" s="1" t="s">
        <v>29</v>
      </c>
      <c r="K401" s="1" t="s">
        <v>26</v>
      </c>
      <c r="L401" s="1">
        <v>5.0</v>
      </c>
      <c r="M401" s="3">
        <v>42546.0</v>
      </c>
      <c r="N401" s="4">
        <f t="shared" si="1"/>
        <v>6</v>
      </c>
      <c r="O401" s="4">
        <f t="shared" si="2"/>
        <v>2016</v>
      </c>
    </row>
    <row r="402">
      <c r="A402" s="1">
        <v>401.0</v>
      </c>
      <c r="B402" s="1" t="s">
        <v>101</v>
      </c>
      <c r="C402" s="1">
        <v>34.0</v>
      </c>
      <c r="D402" s="1" t="s">
        <v>23</v>
      </c>
      <c r="E402" s="1" t="s">
        <v>36</v>
      </c>
      <c r="F402" s="1" t="s">
        <v>24</v>
      </c>
      <c r="G402" s="1">
        <v>2.0</v>
      </c>
      <c r="H402" s="1">
        <v>118841.0</v>
      </c>
      <c r="I402" s="1" t="s">
        <v>19</v>
      </c>
      <c r="J402" s="1" t="s">
        <v>20</v>
      </c>
      <c r="K402" s="1" t="s">
        <v>21</v>
      </c>
      <c r="L402" s="1">
        <v>5.0</v>
      </c>
      <c r="M402" s="3">
        <v>45539.0</v>
      </c>
      <c r="N402" s="4">
        <f t="shared" si="1"/>
        <v>9</v>
      </c>
      <c r="O402" s="4">
        <f t="shared" si="2"/>
        <v>2024</v>
      </c>
    </row>
    <row r="403">
      <c r="A403" s="1">
        <v>402.0</v>
      </c>
      <c r="B403" s="1" t="s">
        <v>79</v>
      </c>
      <c r="C403" s="1">
        <v>53.0</v>
      </c>
      <c r="D403" s="1" t="s">
        <v>23</v>
      </c>
      <c r="E403" s="1" t="s">
        <v>42</v>
      </c>
      <c r="F403" s="1" t="s">
        <v>32</v>
      </c>
      <c r="G403" s="1">
        <v>5.0</v>
      </c>
      <c r="H403" s="1">
        <v>52713.0</v>
      </c>
      <c r="I403" s="1" t="s">
        <v>43</v>
      </c>
      <c r="J403" s="1" t="s">
        <v>20</v>
      </c>
      <c r="K403" s="1" t="s">
        <v>21</v>
      </c>
      <c r="L403" s="1">
        <v>1.0</v>
      </c>
      <c r="M403" s="3">
        <v>44379.0</v>
      </c>
      <c r="N403" s="4">
        <f t="shared" si="1"/>
        <v>7</v>
      </c>
      <c r="O403" s="4">
        <f t="shared" si="2"/>
        <v>2021</v>
      </c>
    </row>
    <row r="404">
      <c r="A404" s="1">
        <v>403.0</v>
      </c>
      <c r="B404" s="1" t="s">
        <v>126</v>
      </c>
      <c r="C404" s="1">
        <v>24.0</v>
      </c>
      <c r="D404" s="1" t="s">
        <v>23</v>
      </c>
      <c r="E404" s="1" t="s">
        <v>39</v>
      </c>
      <c r="F404" s="1" t="s">
        <v>49</v>
      </c>
      <c r="G404" s="1">
        <v>5.0</v>
      </c>
      <c r="H404" s="1">
        <v>90034.0</v>
      </c>
      <c r="I404" s="1" t="s">
        <v>43</v>
      </c>
      <c r="J404" s="1" t="s">
        <v>29</v>
      </c>
      <c r="K404" s="1" t="s">
        <v>26</v>
      </c>
      <c r="L404" s="1">
        <v>1.0</v>
      </c>
      <c r="M404" s="3">
        <v>44457.0</v>
      </c>
      <c r="N404" s="4">
        <f t="shared" si="1"/>
        <v>9</v>
      </c>
      <c r="O404" s="4">
        <f t="shared" si="2"/>
        <v>2021</v>
      </c>
    </row>
    <row r="405">
      <c r="A405" s="1">
        <v>404.0</v>
      </c>
      <c r="B405" s="1" t="s">
        <v>27</v>
      </c>
      <c r="C405" s="1">
        <v>24.0</v>
      </c>
      <c r="D405" s="1" t="s">
        <v>16</v>
      </c>
      <c r="E405" s="1" t="s">
        <v>42</v>
      </c>
      <c r="F405" s="1" t="s">
        <v>24</v>
      </c>
      <c r="G405" s="1">
        <v>7.0</v>
      </c>
      <c r="H405" s="1">
        <v>27702.0</v>
      </c>
      <c r="I405" s="1" t="s">
        <v>51</v>
      </c>
      <c r="J405" s="1" t="s">
        <v>20</v>
      </c>
      <c r="K405" s="1" t="s">
        <v>21</v>
      </c>
      <c r="L405" s="1">
        <v>3.0</v>
      </c>
      <c r="M405" s="3">
        <v>43787.0</v>
      </c>
      <c r="N405" s="4">
        <f t="shared" si="1"/>
        <v>11</v>
      </c>
      <c r="O405" s="4">
        <f t="shared" si="2"/>
        <v>2019</v>
      </c>
    </row>
    <row r="406">
      <c r="A406" s="1">
        <v>405.0</v>
      </c>
      <c r="B406" s="1" t="s">
        <v>88</v>
      </c>
      <c r="C406" s="1">
        <v>55.0</v>
      </c>
      <c r="D406" s="1" t="s">
        <v>16</v>
      </c>
      <c r="E406" s="1" t="s">
        <v>39</v>
      </c>
      <c r="F406" s="1" t="s">
        <v>24</v>
      </c>
      <c r="G406" s="1">
        <v>12.0</v>
      </c>
      <c r="H406" s="1">
        <v>59702.0</v>
      </c>
      <c r="I406" s="1" t="s">
        <v>25</v>
      </c>
      <c r="J406" s="1" t="s">
        <v>34</v>
      </c>
      <c r="K406" s="1" t="s">
        <v>26</v>
      </c>
      <c r="L406" s="1">
        <v>5.0</v>
      </c>
      <c r="M406" s="3">
        <v>41886.0</v>
      </c>
      <c r="N406" s="4">
        <f t="shared" si="1"/>
        <v>9</v>
      </c>
      <c r="O406" s="4">
        <f t="shared" si="2"/>
        <v>2014</v>
      </c>
    </row>
    <row r="407">
      <c r="A407" s="1">
        <v>406.0</v>
      </c>
      <c r="B407" s="1" t="s">
        <v>50</v>
      </c>
      <c r="C407" s="1">
        <v>34.0</v>
      </c>
      <c r="D407" s="1" t="s">
        <v>23</v>
      </c>
      <c r="E407" s="1" t="s">
        <v>31</v>
      </c>
      <c r="F407" s="1" t="s">
        <v>32</v>
      </c>
      <c r="G407" s="1">
        <v>15.0</v>
      </c>
      <c r="H407" s="1">
        <v>26484.0</v>
      </c>
      <c r="I407" s="1" t="s">
        <v>19</v>
      </c>
      <c r="J407" s="1" t="s">
        <v>20</v>
      </c>
      <c r="K407" s="1" t="s">
        <v>26</v>
      </c>
      <c r="L407" s="1">
        <v>1.0</v>
      </c>
      <c r="M407" s="3">
        <v>40831.0</v>
      </c>
      <c r="N407" s="4">
        <f t="shared" si="1"/>
        <v>10</v>
      </c>
      <c r="O407" s="4">
        <f t="shared" si="2"/>
        <v>2011</v>
      </c>
    </row>
    <row r="408">
      <c r="A408" s="1">
        <v>407.0</v>
      </c>
      <c r="B408" s="1" t="s">
        <v>68</v>
      </c>
      <c r="C408" s="1">
        <v>48.0</v>
      </c>
      <c r="D408" s="1" t="s">
        <v>23</v>
      </c>
      <c r="E408" s="1" t="s">
        <v>17</v>
      </c>
      <c r="F408" s="1" t="s">
        <v>32</v>
      </c>
      <c r="G408" s="1">
        <v>6.0</v>
      </c>
      <c r="H408" s="1">
        <v>70483.0</v>
      </c>
      <c r="I408" s="1" t="s">
        <v>25</v>
      </c>
      <c r="J408" s="1" t="s">
        <v>29</v>
      </c>
      <c r="K408" s="1" t="s">
        <v>26</v>
      </c>
      <c r="L408" s="1">
        <v>4.0</v>
      </c>
      <c r="M408" s="3">
        <v>43901.0</v>
      </c>
      <c r="N408" s="4">
        <f t="shared" si="1"/>
        <v>3</v>
      </c>
      <c r="O408" s="4">
        <f t="shared" si="2"/>
        <v>2020</v>
      </c>
    </row>
    <row r="409">
      <c r="A409" s="1">
        <v>408.0</v>
      </c>
      <c r="B409" s="1" t="s">
        <v>98</v>
      </c>
      <c r="C409" s="1">
        <v>33.0</v>
      </c>
      <c r="D409" s="1" t="s">
        <v>16</v>
      </c>
      <c r="E409" s="1" t="s">
        <v>28</v>
      </c>
      <c r="F409" s="1" t="s">
        <v>49</v>
      </c>
      <c r="G409" s="1">
        <v>7.0</v>
      </c>
      <c r="H409" s="1">
        <v>23666.0</v>
      </c>
      <c r="I409" s="1" t="s">
        <v>25</v>
      </c>
      <c r="J409" s="1" t="s">
        <v>20</v>
      </c>
      <c r="K409" s="1" t="s">
        <v>26</v>
      </c>
      <c r="L409" s="1">
        <v>1.0</v>
      </c>
      <c r="M409" s="3">
        <v>43532.0</v>
      </c>
      <c r="N409" s="4">
        <f t="shared" si="1"/>
        <v>3</v>
      </c>
      <c r="O409" s="4">
        <f t="shared" si="2"/>
        <v>2019</v>
      </c>
    </row>
    <row r="410">
      <c r="A410" s="1">
        <v>409.0</v>
      </c>
      <c r="B410" s="1" t="s">
        <v>98</v>
      </c>
      <c r="C410" s="1">
        <v>22.0</v>
      </c>
      <c r="D410" s="1" t="s">
        <v>16</v>
      </c>
      <c r="E410" s="1" t="s">
        <v>36</v>
      </c>
      <c r="F410" s="1" t="s">
        <v>37</v>
      </c>
      <c r="G410" s="1">
        <v>2.0</v>
      </c>
      <c r="H410" s="1">
        <v>47353.0</v>
      </c>
      <c r="I410" s="1" t="s">
        <v>25</v>
      </c>
      <c r="J410" s="1" t="s">
        <v>34</v>
      </c>
      <c r="K410" s="1" t="s">
        <v>26</v>
      </c>
      <c r="L410" s="1">
        <v>5.0</v>
      </c>
      <c r="M410" s="3">
        <v>45519.0</v>
      </c>
      <c r="N410" s="4">
        <f t="shared" si="1"/>
        <v>8</v>
      </c>
      <c r="O410" s="4">
        <f t="shared" si="2"/>
        <v>2024</v>
      </c>
    </row>
    <row r="411">
      <c r="A411" s="1">
        <v>410.0</v>
      </c>
      <c r="B411" s="1" t="s">
        <v>52</v>
      </c>
      <c r="C411" s="1">
        <v>33.0</v>
      </c>
      <c r="D411" s="1" t="s">
        <v>16</v>
      </c>
      <c r="E411" s="1" t="s">
        <v>39</v>
      </c>
      <c r="F411" s="1" t="s">
        <v>49</v>
      </c>
      <c r="G411" s="1">
        <v>10.0</v>
      </c>
      <c r="H411" s="1">
        <v>109956.0</v>
      </c>
      <c r="I411" s="1" t="s">
        <v>38</v>
      </c>
      <c r="J411" s="1" t="s">
        <v>29</v>
      </c>
      <c r="K411" s="1" t="s">
        <v>21</v>
      </c>
      <c r="L411" s="1">
        <v>1.0</v>
      </c>
      <c r="M411" s="3">
        <v>42563.0</v>
      </c>
      <c r="N411" s="4">
        <f t="shared" si="1"/>
        <v>7</v>
      </c>
      <c r="O411" s="4">
        <f t="shared" si="2"/>
        <v>2016</v>
      </c>
    </row>
    <row r="412">
      <c r="A412" s="1">
        <v>411.0</v>
      </c>
      <c r="B412" s="1" t="s">
        <v>93</v>
      </c>
      <c r="C412" s="1">
        <v>58.0</v>
      </c>
      <c r="D412" s="1" t="s">
        <v>16</v>
      </c>
      <c r="E412" s="1" t="s">
        <v>17</v>
      </c>
      <c r="F412" s="1" t="s">
        <v>24</v>
      </c>
      <c r="G412" s="1">
        <v>15.0</v>
      </c>
      <c r="H412" s="1">
        <v>86969.0</v>
      </c>
      <c r="I412" s="1" t="s">
        <v>38</v>
      </c>
      <c r="J412" s="1" t="s">
        <v>20</v>
      </c>
      <c r="K412" s="1" t="s">
        <v>26</v>
      </c>
      <c r="L412" s="1">
        <v>4.0</v>
      </c>
      <c r="M412" s="3">
        <v>40669.0</v>
      </c>
      <c r="N412" s="4">
        <f t="shared" si="1"/>
        <v>5</v>
      </c>
      <c r="O412" s="4">
        <f t="shared" si="2"/>
        <v>2011</v>
      </c>
    </row>
    <row r="413">
      <c r="A413" s="1">
        <v>412.0</v>
      </c>
      <c r="B413" s="1" t="s">
        <v>130</v>
      </c>
      <c r="C413" s="1">
        <v>42.0</v>
      </c>
      <c r="D413" s="1" t="s">
        <v>16</v>
      </c>
      <c r="E413" s="1" t="s">
        <v>42</v>
      </c>
      <c r="F413" s="1" t="s">
        <v>32</v>
      </c>
      <c r="G413" s="1">
        <v>2.0</v>
      </c>
      <c r="H413" s="1">
        <v>34102.0</v>
      </c>
      <c r="I413" s="1" t="s">
        <v>51</v>
      </c>
      <c r="J413" s="1" t="s">
        <v>29</v>
      </c>
      <c r="K413" s="1" t="s">
        <v>21</v>
      </c>
      <c r="L413" s="1">
        <v>1.0</v>
      </c>
      <c r="M413" s="3">
        <v>45355.0</v>
      </c>
      <c r="N413" s="4">
        <f t="shared" si="1"/>
        <v>3</v>
      </c>
      <c r="O413" s="4">
        <f t="shared" si="2"/>
        <v>2024</v>
      </c>
    </row>
    <row r="414">
      <c r="A414" s="1">
        <v>413.0</v>
      </c>
      <c r="B414" s="1" t="s">
        <v>105</v>
      </c>
      <c r="C414" s="1">
        <v>38.0</v>
      </c>
      <c r="D414" s="1" t="s">
        <v>23</v>
      </c>
      <c r="E414" s="1" t="s">
        <v>36</v>
      </c>
      <c r="F414" s="1" t="s">
        <v>49</v>
      </c>
      <c r="G414" s="1">
        <v>0.0</v>
      </c>
      <c r="H414" s="1">
        <v>57292.0</v>
      </c>
      <c r="I414" s="1" t="s">
        <v>43</v>
      </c>
      <c r="J414" s="1" t="s">
        <v>34</v>
      </c>
      <c r="K414" s="1" t="s">
        <v>26</v>
      </c>
      <c r="L414" s="1">
        <v>5.0</v>
      </c>
      <c r="M414" s="3">
        <v>46134.0</v>
      </c>
      <c r="N414" s="4">
        <f t="shared" si="1"/>
        <v>4</v>
      </c>
      <c r="O414" s="4">
        <f t="shared" si="2"/>
        <v>2026</v>
      </c>
    </row>
    <row r="415">
      <c r="A415" s="1">
        <v>414.0</v>
      </c>
      <c r="B415" s="1" t="s">
        <v>86</v>
      </c>
      <c r="C415" s="1">
        <v>26.0</v>
      </c>
      <c r="D415" s="1" t="s">
        <v>23</v>
      </c>
      <c r="E415" s="1" t="s">
        <v>28</v>
      </c>
      <c r="F415" s="1" t="s">
        <v>37</v>
      </c>
      <c r="G415" s="1">
        <v>0.0</v>
      </c>
      <c r="H415" s="1">
        <v>76672.0</v>
      </c>
      <c r="I415" s="1" t="s">
        <v>38</v>
      </c>
      <c r="J415" s="1" t="s">
        <v>29</v>
      </c>
      <c r="K415" s="1" t="s">
        <v>21</v>
      </c>
      <c r="L415" s="1">
        <v>2.0</v>
      </c>
      <c r="M415" s="3">
        <v>46166.0</v>
      </c>
      <c r="N415" s="4">
        <f t="shared" si="1"/>
        <v>5</v>
      </c>
      <c r="O415" s="4">
        <f t="shared" si="2"/>
        <v>2026</v>
      </c>
    </row>
    <row r="416">
      <c r="A416" s="1">
        <v>415.0</v>
      </c>
      <c r="B416" s="1" t="s">
        <v>40</v>
      </c>
      <c r="C416" s="1">
        <v>39.0</v>
      </c>
      <c r="D416" s="1" t="s">
        <v>16</v>
      </c>
      <c r="E416" s="1" t="s">
        <v>28</v>
      </c>
      <c r="F416" s="1" t="s">
        <v>18</v>
      </c>
      <c r="G416" s="1">
        <v>4.0</v>
      </c>
      <c r="H416" s="1">
        <v>94271.0</v>
      </c>
      <c r="I416" s="1" t="s">
        <v>51</v>
      </c>
      <c r="J416" s="1" t="s">
        <v>29</v>
      </c>
      <c r="K416" s="1" t="s">
        <v>26</v>
      </c>
      <c r="L416" s="1">
        <v>4.0</v>
      </c>
      <c r="M416" s="3">
        <v>44870.0</v>
      </c>
      <c r="N416" s="4">
        <f t="shared" si="1"/>
        <v>11</v>
      </c>
      <c r="O416" s="4">
        <f t="shared" si="2"/>
        <v>2022</v>
      </c>
    </row>
    <row r="417">
      <c r="A417" s="1">
        <v>416.0</v>
      </c>
      <c r="B417" s="1" t="s">
        <v>93</v>
      </c>
      <c r="C417" s="1">
        <v>50.0</v>
      </c>
      <c r="D417" s="1" t="s">
        <v>16</v>
      </c>
      <c r="E417" s="1" t="s">
        <v>39</v>
      </c>
      <c r="F417" s="1" t="s">
        <v>32</v>
      </c>
      <c r="G417" s="1">
        <v>13.0</v>
      </c>
      <c r="H417" s="1">
        <v>101854.0</v>
      </c>
      <c r="I417" s="1" t="s">
        <v>51</v>
      </c>
      <c r="J417" s="1" t="s">
        <v>20</v>
      </c>
      <c r="K417" s="1" t="s">
        <v>21</v>
      </c>
      <c r="L417" s="1">
        <v>3.0</v>
      </c>
      <c r="M417" s="3">
        <v>41427.0</v>
      </c>
      <c r="N417" s="4">
        <f t="shared" si="1"/>
        <v>6</v>
      </c>
      <c r="O417" s="4">
        <f t="shared" si="2"/>
        <v>2013</v>
      </c>
    </row>
    <row r="418">
      <c r="A418" s="1">
        <v>417.0</v>
      </c>
      <c r="B418" s="1" t="s">
        <v>76</v>
      </c>
      <c r="C418" s="1">
        <v>42.0</v>
      </c>
      <c r="D418" s="1" t="s">
        <v>23</v>
      </c>
      <c r="E418" s="1" t="s">
        <v>42</v>
      </c>
      <c r="F418" s="1" t="s">
        <v>18</v>
      </c>
      <c r="G418" s="1">
        <v>2.0</v>
      </c>
      <c r="H418" s="1">
        <v>90071.0</v>
      </c>
      <c r="I418" s="1" t="s">
        <v>43</v>
      </c>
      <c r="J418" s="1" t="s">
        <v>34</v>
      </c>
      <c r="K418" s="1" t="s">
        <v>26</v>
      </c>
      <c r="L418" s="1">
        <v>2.0</v>
      </c>
      <c r="M418" s="3">
        <v>45354.0</v>
      </c>
      <c r="N418" s="4">
        <f t="shared" si="1"/>
        <v>3</v>
      </c>
      <c r="O418" s="4">
        <f t="shared" si="2"/>
        <v>2024</v>
      </c>
    </row>
    <row r="419">
      <c r="A419" s="1">
        <v>418.0</v>
      </c>
      <c r="B419" s="1" t="s">
        <v>22</v>
      </c>
      <c r="C419" s="1">
        <v>41.0</v>
      </c>
      <c r="D419" s="1" t="s">
        <v>23</v>
      </c>
      <c r="E419" s="1" t="s">
        <v>42</v>
      </c>
      <c r="F419" s="1" t="s">
        <v>24</v>
      </c>
      <c r="G419" s="1">
        <v>3.0</v>
      </c>
      <c r="H419" s="1">
        <v>110730.0</v>
      </c>
      <c r="I419" s="1" t="s">
        <v>33</v>
      </c>
      <c r="J419" s="1" t="s">
        <v>20</v>
      </c>
      <c r="K419" s="1" t="s">
        <v>26</v>
      </c>
      <c r="L419" s="1">
        <v>5.0</v>
      </c>
      <c r="M419" s="3">
        <v>45173.0</v>
      </c>
      <c r="N419" s="4">
        <f t="shared" si="1"/>
        <v>9</v>
      </c>
      <c r="O419" s="4">
        <f t="shared" si="2"/>
        <v>2023</v>
      </c>
    </row>
    <row r="420">
      <c r="A420" s="1">
        <v>419.0</v>
      </c>
      <c r="B420" s="1" t="s">
        <v>116</v>
      </c>
      <c r="C420" s="1">
        <v>36.0</v>
      </c>
      <c r="D420" s="1" t="s">
        <v>23</v>
      </c>
      <c r="E420" s="1" t="s">
        <v>17</v>
      </c>
      <c r="F420" s="1" t="s">
        <v>37</v>
      </c>
      <c r="G420" s="1">
        <v>5.0</v>
      </c>
      <c r="H420" s="1">
        <v>51167.0</v>
      </c>
      <c r="I420" s="1" t="s">
        <v>33</v>
      </c>
      <c r="J420" s="1" t="s">
        <v>34</v>
      </c>
      <c r="K420" s="1" t="s">
        <v>26</v>
      </c>
      <c r="L420" s="1">
        <v>5.0</v>
      </c>
      <c r="M420" s="3">
        <v>44371.0</v>
      </c>
      <c r="N420" s="4">
        <f t="shared" si="1"/>
        <v>6</v>
      </c>
      <c r="O420" s="4">
        <f t="shared" si="2"/>
        <v>2021</v>
      </c>
    </row>
    <row r="421">
      <c r="A421" s="1">
        <v>420.0</v>
      </c>
      <c r="B421" s="1" t="s">
        <v>110</v>
      </c>
      <c r="C421" s="1">
        <v>43.0</v>
      </c>
      <c r="D421" s="1" t="s">
        <v>23</v>
      </c>
      <c r="E421" s="1" t="s">
        <v>17</v>
      </c>
      <c r="F421" s="1" t="s">
        <v>18</v>
      </c>
      <c r="G421" s="1">
        <v>3.0</v>
      </c>
      <c r="H421" s="1">
        <v>74368.0</v>
      </c>
      <c r="I421" s="1" t="s">
        <v>43</v>
      </c>
      <c r="J421" s="1" t="s">
        <v>20</v>
      </c>
      <c r="K421" s="1" t="s">
        <v>21</v>
      </c>
      <c r="L421" s="1">
        <v>1.0</v>
      </c>
      <c r="M421" s="3">
        <v>45275.0</v>
      </c>
      <c r="N421" s="4">
        <f t="shared" si="1"/>
        <v>12</v>
      </c>
      <c r="O421" s="4">
        <f t="shared" si="2"/>
        <v>2023</v>
      </c>
    </row>
    <row r="422">
      <c r="A422" s="1">
        <v>421.0</v>
      </c>
      <c r="B422" s="1" t="s">
        <v>40</v>
      </c>
      <c r="C422" s="1">
        <v>21.0</v>
      </c>
      <c r="D422" s="1" t="s">
        <v>16</v>
      </c>
      <c r="E422" s="1" t="s">
        <v>36</v>
      </c>
      <c r="F422" s="1" t="s">
        <v>32</v>
      </c>
      <c r="G422" s="1">
        <v>5.0</v>
      </c>
      <c r="H422" s="1">
        <v>88859.0</v>
      </c>
      <c r="I422" s="1" t="s">
        <v>43</v>
      </c>
      <c r="J422" s="1" t="s">
        <v>20</v>
      </c>
      <c r="K422" s="1" t="s">
        <v>26</v>
      </c>
      <c r="L422" s="1">
        <v>2.0</v>
      </c>
      <c r="M422" s="3">
        <v>44403.0</v>
      </c>
      <c r="N422" s="4">
        <f t="shared" si="1"/>
        <v>7</v>
      </c>
      <c r="O422" s="4">
        <f t="shared" si="2"/>
        <v>2021</v>
      </c>
    </row>
    <row r="423">
      <c r="A423" s="1">
        <v>422.0</v>
      </c>
      <c r="B423" s="1" t="s">
        <v>80</v>
      </c>
      <c r="C423" s="1">
        <v>31.0</v>
      </c>
      <c r="D423" s="1" t="s">
        <v>16</v>
      </c>
      <c r="E423" s="1" t="s">
        <v>42</v>
      </c>
      <c r="F423" s="1" t="s">
        <v>49</v>
      </c>
      <c r="G423" s="1">
        <v>15.0</v>
      </c>
      <c r="H423" s="1">
        <v>20092.0</v>
      </c>
      <c r="I423" s="1" t="s">
        <v>51</v>
      </c>
      <c r="J423" s="1" t="s">
        <v>20</v>
      </c>
      <c r="K423" s="1" t="s">
        <v>21</v>
      </c>
      <c r="L423" s="1">
        <v>5.0</v>
      </c>
      <c r="M423" s="3">
        <v>40643.0</v>
      </c>
      <c r="N423" s="4">
        <f t="shared" si="1"/>
        <v>4</v>
      </c>
      <c r="O423" s="4">
        <f t="shared" si="2"/>
        <v>2011</v>
      </c>
    </row>
    <row r="424">
      <c r="A424" s="1">
        <v>423.0</v>
      </c>
      <c r="B424" s="1" t="s">
        <v>79</v>
      </c>
      <c r="C424" s="1">
        <v>45.0</v>
      </c>
      <c r="D424" s="1" t="s">
        <v>16</v>
      </c>
      <c r="E424" s="1" t="s">
        <v>39</v>
      </c>
      <c r="F424" s="1" t="s">
        <v>37</v>
      </c>
      <c r="G424" s="1">
        <v>2.0</v>
      </c>
      <c r="H424" s="1">
        <v>75221.0</v>
      </c>
      <c r="I424" s="1" t="s">
        <v>33</v>
      </c>
      <c r="J424" s="1" t="s">
        <v>29</v>
      </c>
      <c r="K424" s="1" t="s">
        <v>21</v>
      </c>
      <c r="L424" s="1">
        <v>4.0</v>
      </c>
      <c r="M424" s="3">
        <v>45635.0</v>
      </c>
      <c r="N424" s="4">
        <f t="shared" si="1"/>
        <v>12</v>
      </c>
      <c r="O424" s="4">
        <f t="shared" si="2"/>
        <v>2024</v>
      </c>
    </row>
    <row r="425">
      <c r="A425" s="1">
        <v>424.0</v>
      </c>
      <c r="B425" s="1" t="s">
        <v>118</v>
      </c>
      <c r="C425" s="1">
        <v>40.0</v>
      </c>
      <c r="D425" s="1" t="s">
        <v>16</v>
      </c>
      <c r="E425" s="1" t="s">
        <v>31</v>
      </c>
      <c r="F425" s="1" t="s">
        <v>37</v>
      </c>
      <c r="G425" s="1">
        <v>15.0</v>
      </c>
      <c r="H425" s="1">
        <v>67731.0</v>
      </c>
      <c r="I425" s="1" t="s">
        <v>51</v>
      </c>
      <c r="J425" s="1" t="s">
        <v>29</v>
      </c>
      <c r="K425" s="1" t="s">
        <v>21</v>
      </c>
      <c r="L425" s="1">
        <v>3.0</v>
      </c>
      <c r="M425" s="3">
        <v>40581.0</v>
      </c>
      <c r="N425" s="4">
        <f t="shared" si="1"/>
        <v>2</v>
      </c>
      <c r="O425" s="4">
        <f t="shared" si="2"/>
        <v>2011</v>
      </c>
    </row>
    <row r="426">
      <c r="A426" s="1">
        <v>425.0</v>
      </c>
      <c r="B426" s="1" t="s">
        <v>113</v>
      </c>
      <c r="C426" s="1">
        <v>22.0</v>
      </c>
      <c r="D426" s="1" t="s">
        <v>23</v>
      </c>
      <c r="E426" s="1" t="s">
        <v>28</v>
      </c>
      <c r="F426" s="1" t="s">
        <v>24</v>
      </c>
      <c r="G426" s="1">
        <v>8.0</v>
      </c>
      <c r="H426" s="1">
        <v>55963.0</v>
      </c>
      <c r="I426" s="1" t="s">
        <v>51</v>
      </c>
      <c r="J426" s="1" t="s">
        <v>34</v>
      </c>
      <c r="K426" s="1" t="s">
        <v>21</v>
      </c>
      <c r="L426" s="1">
        <v>1.0</v>
      </c>
      <c r="M426" s="3">
        <v>43256.0</v>
      </c>
      <c r="N426" s="4">
        <f t="shared" si="1"/>
        <v>6</v>
      </c>
      <c r="O426" s="4">
        <f t="shared" si="2"/>
        <v>2018</v>
      </c>
    </row>
    <row r="427">
      <c r="A427" s="1">
        <v>426.0</v>
      </c>
      <c r="B427" s="1" t="s">
        <v>121</v>
      </c>
      <c r="C427" s="1">
        <v>42.0</v>
      </c>
      <c r="D427" s="1" t="s">
        <v>23</v>
      </c>
      <c r="E427" s="1" t="s">
        <v>36</v>
      </c>
      <c r="F427" s="1" t="s">
        <v>32</v>
      </c>
      <c r="G427" s="1">
        <v>15.0</v>
      </c>
      <c r="H427" s="1">
        <v>76457.0</v>
      </c>
      <c r="I427" s="1" t="s">
        <v>38</v>
      </c>
      <c r="J427" s="1" t="s">
        <v>29</v>
      </c>
      <c r="K427" s="1" t="s">
        <v>21</v>
      </c>
      <c r="L427" s="1">
        <v>1.0</v>
      </c>
      <c r="M427" s="3">
        <v>40639.0</v>
      </c>
      <c r="N427" s="4">
        <f t="shared" si="1"/>
        <v>4</v>
      </c>
      <c r="O427" s="4">
        <f t="shared" si="2"/>
        <v>2011</v>
      </c>
    </row>
    <row r="428">
      <c r="A428" s="1">
        <v>427.0</v>
      </c>
      <c r="B428" s="1" t="s">
        <v>138</v>
      </c>
      <c r="C428" s="1">
        <v>53.0</v>
      </c>
      <c r="D428" s="1" t="s">
        <v>16</v>
      </c>
      <c r="E428" s="1" t="s">
        <v>42</v>
      </c>
      <c r="F428" s="1" t="s">
        <v>32</v>
      </c>
      <c r="G428" s="1">
        <v>4.0</v>
      </c>
      <c r="H428" s="1">
        <v>72016.0</v>
      </c>
      <c r="I428" s="1" t="s">
        <v>43</v>
      </c>
      <c r="J428" s="1" t="s">
        <v>34</v>
      </c>
      <c r="K428" s="1" t="s">
        <v>26</v>
      </c>
      <c r="L428" s="1">
        <v>2.0</v>
      </c>
      <c r="M428" s="3">
        <v>44675.0</v>
      </c>
      <c r="N428" s="4">
        <f t="shared" si="1"/>
        <v>4</v>
      </c>
      <c r="O428" s="4">
        <f t="shared" si="2"/>
        <v>2022</v>
      </c>
    </row>
    <row r="429">
      <c r="A429" s="1">
        <v>428.0</v>
      </c>
      <c r="B429" s="1" t="s">
        <v>101</v>
      </c>
      <c r="C429" s="1">
        <v>60.0</v>
      </c>
      <c r="D429" s="1" t="s">
        <v>16</v>
      </c>
      <c r="E429" s="1" t="s">
        <v>17</v>
      </c>
      <c r="F429" s="1" t="s">
        <v>37</v>
      </c>
      <c r="G429" s="1">
        <v>10.0</v>
      </c>
      <c r="H429" s="1">
        <v>95271.0</v>
      </c>
      <c r="I429" s="1" t="s">
        <v>19</v>
      </c>
      <c r="J429" s="1" t="s">
        <v>34</v>
      </c>
      <c r="K429" s="1" t="s">
        <v>26</v>
      </c>
      <c r="L429" s="1">
        <v>4.0</v>
      </c>
      <c r="M429" s="3">
        <v>42708.0</v>
      </c>
      <c r="N429" s="4">
        <f t="shared" si="1"/>
        <v>12</v>
      </c>
      <c r="O429" s="4">
        <f t="shared" si="2"/>
        <v>2016</v>
      </c>
    </row>
    <row r="430">
      <c r="A430" s="1">
        <v>429.0</v>
      </c>
      <c r="B430" s="1" t="s">
        <v>136</v>
      </c>
      <c r="C430" s="1">
        <v>51.0</v>
      </c>
      <c r="D430" s="1" t="s">
        <v>16</v>
      </c>
      <c r="E430" s="1" t="s">
        <v>36</v>
      </c>
      <c r="F430" s="1" t="s">
        <v>37</v>
      </c>
      <c r="G430" s="1">
        <v>14.0</v>
      </c>
      <c r="H430" s="1">
        <v>86561.0</v>
      </c>
      <c r="I430" s="1" t="s">
        <v>38</v>
      </c>
      <c r="J430" s="1" t="s">
        <v>34</v>
      </c>
      <c r="K430" s="1" t="s">
        <v>26</v>
      </c>
      <c r="L430" s="1">
        <v>2.0</v>
      </c>
      <c r="M430" s="3">
        <v>40961.0</v>
      </c>
      <c r="N430" s="4">
        <f t="shared" si="1"/>
        <v>2</v>
      </c>
      <c r="O430" s="4">
        <f t="shared" si="2"/>
        <v>2012</v>
      </c>
    </row>
    <row r="431">
      <c r="A431" s="1">
        <v>430.0</v>
      </c>
      <c r="B431" s="1" t="s">
        <v>35</v>
      </c>
      <c r="C431" s="1">
        <v>37.0</v>
      </c>
      <c r="D431" s="1" t="s">
        <v>23</v>
      </c>
      <c r="E431" s="1" t="s">
        <v>36</v>
      </c>
      <c r="F431" s="1" t="s">
        <v>24</v>
      </c>
      <c r="G431" s="1">
        <v>11.0</v>
      </c>
      <c r="H431" s="1">
        <v>51240.0</v>
      </c>
      <c r="I431" s="1" t="s">
        <v>43</v>
      </c>
      <c r="J431" s="1" t="s">
        <v>29</v>
      </c>
      <c r="K431" s="1" t="s">
        <v>21</v>
      </c>
      <c r="L431" s="1">
        <v>5.0</v>
      </c>
      <c r="M431" s="3">
        <v>42325.0</v>
      </c>
      <c r="N431" s="4">
        <f t="shared" si="1"/>
        <v>11</v>
      </c>
      <c r="O431" s="4">
        <f t="shared" si="2"/>
        <v>2015</v>
      </c>
    </row>
    <row r="432">
      <c r="A432" s="1">
        <v>431.0</v>
      </c>
      <c r="B432" s="1" t="s">
        <v>101</v>
      </c>
      <c r="C432" s="1">
        <v>51.0</v>
      </c>
      <c r="D432" s="1" t="s">
        <v>23</v>
      </c>
      <c r="E432" s="1" t="s">
        <v>28</v>
      </c>
      <c r="F432" s="1" t="s">
        <v>49</v>
      </c>
      <c r="G432" s="1">
        <v>7.0</v>
      </c>
      <c r="H432" s="1">
        <v>104017.0</v>
      </c>
      <c r="I432" s="1" t="s">
        <v>25</v>
      </c>
      <c r="J432" s="1" t="s">
        <v>34</v>
      </c>
      <c r="K432" s="1" t="s">
        <v>26</v>
      </c>
      <c r="L432" s="1">
        <v>5.0</v>
      </c>
      <c r="M432" s="3">
        <v>43802.0</v>
      </c>
      <c r="N432" s="4">
        <f t="shared" si="1"/>
        <v>12</v>
      </c>
      <c r="O432" s="4">
        <f t="shared" si="2"/>
        <v>2019</v>
      </c>
    </row>
    <row r="433">
      <c r="A433" s="1">
        <v>432.0</v>
      </c>
      <c r="B433" s="1" t="s">
        <v>45</v>
      </c>
      <c r="C433" s="1">
        <v>50.0</v>
      </c>
      <c r="D433" s="1" t="s">
        <v>23</v>
      </c>
      <c r="E433" s="1" t="s">
        <v>42</v>
      </c>
      <c r="F433" s="1" t="s">
        <v>32</v>
      </c>
      <c r="G433" s="1">
        <v>4.0</v>
      </c>
      <c r="H433" s="1">
        <v>115178.0</v>
      </c>
      <c r="I433" s="1" t="s">
        <v>51</v>
      </c>
      <c r="J433" s="1" t="s">
        <v>34</v>
      </c>
      <c r="K433" s="1" t="s">
        <v>26</v>
      </c>
      <c r="L433" s="1">
        <v>5.0</v>
      </c>
      <c r="M433" s="3">
        <v>44827.0</v>
      </c>
      <c r="N433" s="4">
        <f t="shared" si="1"/>
        <v>9</v>
      </c>
      <c r="O433" s="4">
        <f t="shared" si="2"/>
        <v>2022</v>
      </c>
    </row>
    <row r="434">
      <c r="A434" s="1">
        <v>433.0</v>
      </c>
      <c r="B434" s="1" t="s">
        <v>120</v>
      </c>
      <c r="C434" s="1">
        <v>44.0</v>
      </c>
      <c r="D434" s="1" t="s">
        <v>16</v>
      </c>
      <c r="E434" s="1" t="s">
        <v>42</v>
      </c>
      <c r="F434" s="1" t="s">
        <v>32</v>
      </c>
      <c r="G434" s="1">
        <v>9.0</v>
      </c>
      <c r="H434" s="1">
        <v>53699.0</v>
      </c>
      <c r="I434" s="1" t="s">
        <v>33</v>
      </c>
      <c r="J434" s="1" t="s">
        <v>29</v>
      </c>
      <c r="K434" s="1" t="s">
        <v>26</v>
      </c>
      <c r="L434" s="1">
        <v>3.0</v>
      </c>
      <c r="M434" s="3">
        <v>42842.0</v>
      </c>
      <c r="N434" s="4">
        <f t="shared" si="1"/>
        <v>4</v>
      </c>
      <c r="O434" s="4">
        <f t="shared" si="2"/>
        <v>2017</v>
      </c>
    </row>
    <row r="435">
      <c r="A435" s="1">
        <v>434.0</v>
      </c>
      <c r="B435" s="1" t="s">
        <v>79</v>
      </c>
      <c r="C435" s="1">
        <v>59.0</v>
      </c>
      <c r="D435" s="1" t="s">
        <v>16</v>
      </c>
      <c r="E435" s="1" t="s">
        <v>42</v>
      </c>
      <c r="F435" s="1" t="s">
        <v>37</v>
      </c>
      <c r="G435" s="1">
        <v>1.0</v>
      </c>
      <c r="H435" s="1">
        <v>101030.0</v>
      </c>
      <c r="I435" s="1" t="s">
        <v>25</v>
      </c>
      <c r="J435" s="1" t="s">
        <v>34</v>
      </c>
      <c r="K435" s="1" t="s">
        <v>26</v>
      </c>
      <c r="L435" s="1">
        <v>2.0</v>
      </c>
      <c r="M435" s="3">
        <v>45974.0</v>
      </c>
      <c r="N435" s="4">
        <f t="shared" si="1"/>
        <v>11</v>
      </c>
      <c r="O435" s="4">
        <f t="shared" si="2"/>
        <v>2025</v>
      </c>
    </row>
    <row r="436">
      <c r="A436" s="1">
        <v>435.0</v>
      </c>
      <c r="B436" s="1" t="s">
        <v>121</v>
      </c>
      <c r="C436" s="1">
        <v>52.0</v>
      </c>
      <c r="D436" s="1" t="s">
        <v>16</v>
      </c>
      <c r="E436" s="1" t="s">
        <v>36</v>
      </c>
      <c r="F436" s="1" t="s">
        <v>24</v>
      </c>
      <c r="G436" s="1">
        <v>14.0</v>
      </c>
      <c r="H436" s="1">
        <v>94285.0</v>
      </c>
      <c r="I436" s="1" t="s">
        <v>43</v>
      </c>
      <c r="J436" s="1" t="s">
        <v>20</v>
      </c>
      <c r="K436" s="1" t="s">
        <v>26</v>
      </c>
      <c r="L436" s="1">
        <v>2.0</v>
      </c>
      <c r="M436" s="3">
        <v>40924.0</v>
      </c>
      <c r="N436" s="4">
        <f t="shared" si="1"/>
        <v>1</v>
      </c>
      <c r="O436" s="4">
        <f t="shared" si="2"/>
        <v>2012</v>
      </c>
    </row>
    <row r="437">
      <c r="A437" s="1">
        <v>436.0</v>
      </c>
      <c r="B437" s="1" t="s">
        <v>62</v>
      </c>
      <c r="C437" s="1">
        <v>55.0</v>
      </c>
      <c r="D437" s="1" t="s">
        <v>16</v>
      </c>
      <c r="E437" s="1" t="s">
        <v>17</v>
      </c>
      <c r="F437" s="1" t="s">
        <v>37</v>
      </c>
      <c r="G437" s="1">
        <v>6.0</v>
      </c>
      <c r="H437" s="1">
        <v>64378.0</v>
      </c>
      <c r="I437" s="1" t="s">
        <v>51</v>
      </c>
      <c r="J437" s="1" t="s">
        <v>20</v>
      </c>
      <c r="K437" s="1" t="s">
        <v>26</v>
      </c>
      <c r="L437" s="1">
        <v>1.0</v>
      </c>
      <c r="M437" s="3">
        <v>44077.0</v>
      </c>
      <c r="N437" s="4">
        <f t="shared" si="1"/>
        <v>9</v>
      </c>
      <c r="O437" s="4">
        <f t="shared" si="2"/>
        <v>2020</v>
      </c>
    </row>
    <row r="438">
      <c r="A438" s="1">
        <v>437.0</v>
      </c>
      <c r="B438" s="1" t="s">
        <v>122</v>
      </c>
      <c r="C438" s="1">
        <v>32.0</v>
      </c>
      <c r="D438" s="1" t="s">
        <v>23</v>
      </c>
      <c r="E438" s="1" t="s">
        <v>36</v>
      </c>
      <c r="F438" s="1" t="s">
        <v>18</v>
      </c>
      <c r="G438" s="1">
        <v>13.0</v>
      </c>
      <c r="H438" s="1">
        <v>115633.0</v>
      </c>
      <c r="I438" s="1" t="s">
        <v>25</v>
      </c>
      <c r="J438" s="1" t="s">
        <v>34</v>
      </c>
      <c r="K438" s="1" t="s">
        <v>26</v>
      </c>
      <c r="L438" s="1">
        <v>2.0</v>
      </c>
      <c r="M438" s="3">
        <v>41302.0</v>
      </c>
      <c r="N438" s="4">
        <f t="shared" si="1"/>
        <v>1</v>
      </c>
      <c r="O438" s="4">
        <f t="shared" si="2"/>
        <v>2013</v>
      </c>
    </row>
    <row r="439">
      <c r="A439" s="1">
        <v>438.0</v>
      </c>
      <c r="B439" s="1" t="s">
        <v>54</v>
      </c>
      <c r="C439" s="1">
        <v>51.0</v>
      </c>
      <c r="D439" s="1" t="s">
        <v>16</v>
      </c>
      <c r="E439" s="1" t="s">
        <v>28</v>
      </c>
      <c r="F439" s="1" t="s">
        <v>24</v>
      </c>
      <c r="G439" s="1">
        <v>14.0</v>
      </c>
      <c r="H439" s="1">
        <v>84934.0</v>
      </c>
      <c r="I439" s="1" t="s">
        <v>38</v>
      </c>
      <c r="J439" s="1" t="s">
        <v>29</v>
      </c>
      <c r="K439" s="1" t="s">
        <v>21</v>
      </c>
      <c r="L439" s="1">
        <v>5.0</v>
      </c>
      <c r="M439" s="3">
        <v>41265.0</v>
      </c>
      <c r="N439" s="4">
        <f t="shared" si="1"/>
        <v>12</v>
      </c>
      <c r="O439" s="4">
        <f t="shared" si="2"/>
        <v>2012</v>
      </c>
    </row>
    <row r="440">
      <c r="A440" s="1">
        <v>439.0</v>
      </c>
      <c r="B440" s="1" t="s">
        <v>109</v>
      </c>
      <c r="C440" s="1">
        <v>37.0</v>
      </c>
      <c r="D440" s="1" t="s">
        <v>16</v>
      </c>
      <c r="E440" s="1" t="s">
        <v>39</v>
      </c>
      <c r="F440" s="1" t="s">
        <v>32</v>
      </c>
      <c r="G440" s="1">
        <v>13.0</v>
      </c>
      <c r="H440" s="1">
        <v>86501.0</v>
      </c>
      <c r="I440" s="1" t="s">
        <v>19</v>
      </c>
      <c r="J440" s="1" t="s">
        <v>29</v>
      </c>
      <c r="K440" s="1" t="s">
        <v>26</v>
      </c>
      <c r="L440" s="1">
        <v>5.0</v>
      </c>
      <c r="M440" s="3">
        <v>41624.0</v>
      </c>
      <c r="N440" s="4">
        <f t="shared" si="1"/>
        <v>12</v>
      </c>
      <c r="O440" s="4">
        <f t="shared" si="2"/>
        <v>2013</v>
      </c>
    </row>
    <row r="441">
      <c r="A441" s="1">
        <v>440.0</v>
      </c>
      <c r="B441" s="1" t="s">
        <v>15</v>
      </c>
      <c r="C441" s="1">
        <v>48.0</v>
      </c>
      <c r="D441" s="1" t="s">
        <v>16</v>
      </c>
      <c r="E441" s="1" t="s">
        <v>39</v>
      </c>
      <c r="F441" s="1" t="s">
        <v>18</v>
      </c>
      <c r="G441" s="1">
        <v>11.0</v>
      </c>
      <c r="H441" s="1">
        <v>88317.0</v>
      </c>
      <c r="I441" s="1" t="s">
        <v>38</v>
      </c>
      <c r="J441" s="1" t="s">
        <v>20</v>
      </c>
      <c r="K441" s="1" t="s">
        <v>26</v>
      </c>
      <c r="L441" s="1">
        <v>1.0</v>
      </c>
      <c r="M441" s="3">
        <v>42209.0</v>
      </c>
      <c r="N441" s="4">
        <f t="shared" si="1"/>
        <v>7</v>
      </c>
      <c r="O441" s="4">
        <f t="shared" si="2"/>
        <v>2015</v>
      </c>
    </row>
    <row r="442">
      <c r="A442" s="1">
        <v>441.0</v>
      </c>
      <c r="B442" s="1" t="s">
        <v>98</v>
      </c>
      <c r="C442" s="1">
        <v>43.0</v>
      </c>
      <c r="D442" s="1" t="s">
        <v>16</v>
      </c>
      <c r="E442" s="1" t="s">
        <v>39</v>
      </c>
      <c r="F442" s="1" t="s">
        <v>49</v>
      </c>
      <c r="G442" s="1">
        <v>5.0</v>
      </c>
      <c r="H442" s="1">
        <v>84638.0</v>
      </c>
      <c r="I442" s="1" t="s">
        <v>25</v>
      </c>
      <c r="J442" s="1" t="s">
        <v>20</v>
      </c>
      <c r="K442" s="1" t="s">
        <v>21</v>
      </c>
      <c r="L442" s="1">
        <v>2.0</v>
      </c>
      <c r="M442" s="3">
        <v>44544.0</v>
      </c>
      <c r="N442" s="4">
        <f t="shared" si="1"/>
        <v>12</v>
      </c>
      <c r="O442" s="4">
        <f t="shared" si="2"/>
        <v>2021</v>
      </c>
    </row>
    <row r="443">
      <c r="A443" s="1">
        <v>442.0</v>
      </c>
      <c r="B443" s="1" t="s">
        <v>110</v>
      </c>
      <c r="C443" s="1">
        <v>24.0</v>
      </c>
      <c r="D443" s="1" t="s">
        <v>16</v>
      </c>
      <c r="E443" s="1" t="s">
        <v>17</v>
      </c>
      <c r="F443" s="1" t="s">
        <v>18</v>
      </c>
      <c r="G443" s="1">
        <v>1.0</v>
      </c>
      <c r="H443" s="1">
        <v>40621.0</v>
      </c>
      <c r="I443" s="1" t="s">
        <v>19</v>
      </c>
      <c r="J443" s="1" t="s">
        <v>29</v>
      </c>
      <c r="K443" s="1" t="s">
        <v>21</v>
      </c>
      <c r="L443" s="1">
        <v>5.0</v>
      </c>
      <c r="M443" s="3">
        <v>46005.0</v>
      </c>
      <c r="N443" s="4">
        <f t="shared" si="1"/>
        <v>12</v>
      </c>
      <c r="O443" s="4">
        <f t="shared" si="2"/>
        <v>2025</v>
      </c>
    </row>
    <row r="444">
      <c r="A444" s="1">
        <v>443.0</v>
      </c>
      <c r="B444" s="1" t="s">
        <v>55</v>
      </c>
      <c r="C444" s="1">
        <v>40.0</v>
      </c>
      <c r="D444" s="1" t="s">
        <v>23</v>
      </c>
      <c r="E444" s="1" t="s">
        <v>17</v>
      </c>
      <c r="F444" s="1" t="s">
        <v>49</v>
      </c>
      <c r="G444" s="1">
        <v>4.0</v>
      </c>
      <c r="H444" s="1">
        <v>82148.0</v>
      </c>
      <c r="I444" s="1" t="s">
        <v>33</v>
      </c>
      <c r="J444" s="1" t="s">
        <v>34</v>
      </c>
      <c r="K444" s="1" t="s">
        <v>26</v>
      </c>
      <c r="L444" s="1">
        <v>3.0</v>
      </c>
      <c r="M444" s="3">
        <v>44677.0</v>
      </c>
      <c r="N444" s="4">
        <f t="shared" si="1"/>
        <v>4</v>
      </c>
      <c r="O444" s="4">
        <f t="shared" si="2"/>
        <v>2022</v>
      </c>
    </row>
    <row r="445">
      <c r="A445" s="1">
        <v>444.0</v>
      </c>
      <c r="B445" s="1" t="s">
        <v>74</v>
      </c>
      <c r="C445" s="1">
        <v>58.0</v>
      </c>
      <c r="D445" s="1" t="s">
        <v>23</v>
      </c>
      <c r="E445" s="1" t="s">
        <v>17</v>
      </c>
      <c r="F445" s="1" t="s">
        <v>32</v>
      </c>
      <c r="G445" s="1">
        <v>7.0</v>
      </c>
      <c r="H445" s="1">
        <v>30036.0</v>
      </c>
      <c r="I445" s="1" t="s">
        <v>25</v>
      </c>
      <c r="J445" s="1" t="s">
        <v>34</v>
      </c>
      <c r="K445" s="1" t="s">
        <v>21</v>
      </c>
      <c r="L445" s="1">
        <v>5.0</v>
      </c>
      <c r="M445" s="3">
        <v>43658.0</v>
      </c>
      <c r="N445" s="4">
        <f t="shared" si="1"/>
        <v>7</v>
      </c>
      <c r="O445" s="4">
        <f t="shared" si="2"/>
        <v>2019</v>
      </c>
    </row>
    <row r="446">
      <c r="A446" s="1">
        <v>445.0</v>
      </c>
      <c r="B446" s="1" t="s">
        <v>79</v>
      </c>
      <c r="C446" s="1">
        <v>52.0</v>
      </c>
      <c r="D446" s="1" t="s">
        <v>16</v>
      </c>
      <c r="E446" s="1" t="s">
        <v>17</v>
      </c>
      <c r="F446" s="1" t="s">
        <v>32</v>
      </c>
      <c r="G446" s="1">
        <v>6.0</v>
      </c>
      <c r="H446" s="1">
        <v>23639.0</v>
      </c>
      <c r="I446" s="1" t="s">
        <v>51</v>
      </c>
      <c r="J446" s="1" t="s">
        <v>34</v>
      </c>
      <c r="K446" s="1" t="s">
        <v>26</v>
      </c>
      <c r="L446" s="1">
        <v>4.0</v>
      </c>
      <c r="M446" s="3">
        <v>43923.0</v>
      </c>
      <c r="N446" s="4">
        <f t="shared" si="1"/>
        <v>4</v>
      </c>
      <c r="O446" s="4">
        <f t="shared" si="2"/>
        <v>2020</v>
      </c>
    </row>
    <row r="447">
      <c r="A447" s="1">
        <v>446.0</v>
      </c>
      <c r="B447" s="1" t="s">
        <v>68</v>
      </c>
      <c r="C447" s="1">
        <v>54.0</v>
      </c>
      <c r="D447" s="1" t="s">
        <v>23</v>
      </c>
      <c r="E447" s="1" t="s">
        <v>17</v>
      </c>
      <c r="F447" s="1" t="s">
        <v>24</v>
      </c>
      <c r="G447" s="1">
        <v>14.0</v>
      </c>
      <c r="H447" s="1">
        <v>81382.0</v>
      </c>
      <c r="I447" s="1" t="s">
        <v>38</v>
      </c>
      <c r="J447" s="1" t="s">
        <v>29</v>
      </c>
      <c r="K447" s="1" t="s">
        <v>26</v>
      </c>
      <c r="L447" s="1">
        <v>1.0</v>
      </c>
      <c r="M447" s="3">
        <v>41236.0</v>
      </c>
      <c r="N447" s="4">
        <f t="shared" si="1"/>
        <v>11</v>
      </c>
      <c r="O447" s="4">
        <f t="shared" si="2"/>
        <v>2012</v>
      </c>
    </row>
    <row r="448">
      <c r="A448" s="1">
        <v>447.0</v>
      </c>
      <c r="B448" s="1" t="s">
        <v>77</v>
      </c>
      <c r="C448" s="1">
        <v>37.0</v>
      </c>
      <c r="D448" s="1" t="s">
        <v>16</v>
      </c>
      <c r="E448" s="1" t="s">
        <v>39</v>
      </c>
      <c r="F448" s="1" t="s">
        <v>24</v>
      </c>
      <c r="G448" s="1">
        <v>13.0</v>
      </c>
      <c r="H448" s="1">
        <v>72471.0</v>
      </c>
      <c r="I448" s="1" t="s">
        <v>51</v>
      </c>
      <c r="J448" s="1" t="s">
        <v>29</v>
      </c>
      <c r="K448" s="1" t="s">
        <v>21</v>
      </c>
      <c r="L448" s="1">
        <v>2.0</v>
      </c>
      <c r="M448" s="3">
        <v>41348.0</v>
      </c>
      <c r="N448" s="4">
        <f t="shared" si="1"/>
        <v>3</v>
      </c>
      <c r="O448" s="4">
        <f t="shared" si="2"/>
        <v>2013</v>
      </c>
    </row>
    <row r="449">
      <c r="A449" s="1">
        <v>448.0</v>
      </c>
      <c r="B449" s="1" t="s">
        <v>75</v>
      </c>
      <c r="C449" s="1">
        <v>54.0</v>
      </c>
      <c r="D449" s="1" t="s">
        <v>16</v>
      </c>
      <c r="E449" s="1" t="s">
        <v>39</v>
      </c>
      <c r="F449" s="1" t="s">
        <v>18</v>
      </c>
      <c r="G449" s="1">
        <v>6.0</v>
      </c>
      <c r="H449" s="1">
        <v>78086.0</v>
      </c>
      <c r="I449" s="1" t="s">
        <v>43</v>
      </c>
      <c r="J449" s="1" t="s">
        <v>29</v>
      </c>
      <c r="K449" s="1" t="s">
        <v>26</v>
      </c>
      <c r="L449" s="1">
        <v>5.0</v>
      </c>
      <c r="M449" s="3">
        <v>43977.0</v>
      </c>
      <c r="N449" s="4">
        <f t="shared" si="1"/>
        <v>5</v>
      </c>
      <c r="O449" s="4">
        <f t="shared" si="2"/>
        <v>2020</v>
      </c>
    </row>
    <row r="450">
      <c r="A450" s="1">
        <v>449.0</v>
      </c>
      <c r="B450" s="1" t="s">
        <v>73</v>
      </c>
      <c r="C450" s="1">
        <v>31.0</v>
      </c>
      <c r="D450" s="1" t="s">
        <v>23</v>
      </c>
      <c r="E450" s="1" t="s">
        <v>31</v>
      </c>
      <c r="F450" s="1" t="s">
        <v>37</v>
      </c>
      <c r="G450" s="1">
        <v>12.0</v>
      </c>
      <c r="H450" s="1">
        <v>58316.0</v>
      </c>
      <c r="I450" s="1" t="s">
        <v>33</v>
      </c>
      <c r="J450" s="1" t="s">
        <v>20</v>
      </c>
      <c r="K450" s="1" t="s">
        <v>21</v>
      </c>
      <c r="L450" s="1">
        <v>5.0</v>
      </c>
      <c r="M450" s="3">
        <v>41787.0</v>
      </c>
      <c r="N450" s="4">
        <f t="shared" si="1"/>
        <v>5</v>
      </c>
      <c r="O450" s="4">
        <f t="shared" si="2"/>
        <v>2014</v>
      </c>
    </row>
    <row r="451">
      <c r="A451" s="1">
        <v>450.0</v>
      </c>
      <c r="B451" s="1" t="s">
        <v>79</v>
      </c>
      <c r="C451" s="1">
        <v>26.0</v>
      </c>
      <c r="D451" s="1" t="s">
        <v>23</v>
      </c>
      <c r="E451" s="1" t="s">
        <v>39</v>
      </c>
      <c r="F451" s="1" t="s">
        <v>37</v>
      </c>
      <c r="G451" s="1">
        <v>9.0</v>
      </c>
      <c r="H451" s="1">
        <v>58529.0</v>
      </c>
      <c r="I451" s="1" t="s">
        <v>33</v>
      </c>
      <c r="J451" s="1" t="s">
        <v>29</v>
      </c>
      <c r="K451" s="1" t="s">
        <v>21</v>
      </c>
      <c r="L451" s="1">
        <v>4.0</v>
      </c>
      <c r="M451" s="3">
        <v>42770.0</v>
      </c>
      <c r="N451" s="4">
        <f t="shared" si="1"/>
        <v>2</v>
      </c>
      <c r="O451" s="4">
        <f t="shared" si="2"/>
        <v>2017</v>
      </c>
    </row>
    <row r="452">
      <c r="A452" s="1">
        <v>451.0</v>
      </c>
      <c r="B452" s="1" t="s">
        <v>108</v>
      </c>
      <c r="C452" s="1">
        <v>57.0</v>
      </c>
      <c r="D452" s="1" t="s">
        <v>16</v>
      </c>
      <c r="E452" s="1" t="s">
        <v>42</v>
      </c>
      <c r="F452" s="1" t="s">
        <v>18</v>
      </c>
      <c r="G452" s="1">
        <v>8.0</v>
      </c>
      <c r="H452" s="1">
        <v>59292.0</v>
      </c>
      <c r="I452" s="1" t="s">
        <v>25</v>
      </c>
      <c r="J452" s="1" t="s">
        <v>29</v>
      </c>
      <c r="K452" s="1" t="s">
        <v>21</v>
      </c>
      <c r="L452" s="1">
        <v>1.0</v>
      </c>
      <c r="M452" s="3">
        <v>43157.0</v>
      </c>
      <c r="N452" s="4">
        <f t="shared" si="1"/>
        <v>2</v>
      </c>
      <c r="O452" s="4">
        <f t="shared" si="2"/>
        <v>2018</v>
      </c>
    </row>
    <row r="453">
      <c r="A453" s="1">
        <v>452.0</v>
      </c>
      <c r="B453" s="1" t="s">
        <v>56</v>
      </c>
      <c r="C453" s="1">
        <v>57.0</v>
      </c>
      <c r="D453" s="1" t="s">
        <v>23</v>
      </c>
      <c r="E453" s="1" t="s">
        <v>42</v>
      </c>
      <c r="F453" s="1" t="s">
        <v>32</v>
      </c>
      <c r="G453" s="1">
        <v>9.0</v>
      </c>
      <c r="H453" s="1">
        <v>98210.0</v>
      </c>
      <c r="I453" s="1" t="s">
        <v>38</v>
      </c>
      <c r="J453" s="1" t="s">
        <v>34</v>
      </c>
      <c r="K453" s="1" t="s">
        <v>26</v>
      </c>
      <c r="L453" s="1">
        <v>3.0</v>
      </c>
      <c r="M453" s="3">
        <v>43066.0</v>
      </c>
      <c r="N453" s="4">
        <f t="shared" si="1"/>
        <v>11</v>
      </c>
      <c r="O453" s="4">
        <f t="shared" si="2"/>
        <v>2017</v>
      </c>
    </row>
    <row r="454">
      <c r="A454" s="1">
        <v>453.0</v>
      </c>
      <c r="B454" s="1" t="s">
        <v>97</v>
      </c>
      <c r="C454" s="1">
        <v>51.0</v>
      </c>
      <c r="D454" s="1" t="s">
        <v>23</v>
      </c>
      <c r="E454" s="1" t="s">
        <v>39</v>
      </c>
      <c r="F454" s="1" t="s">
        <v>37</v>
      </c>
      <c r="G454" s="1">
        <v>4.0</v>
      </c>
      <c r="H454" s="1">
        <v>39726.0</v>
      </c>
      <c r="I454" s="1" t="s">
        <v>43</v>
      </c>
      <c r="J454" s="1" t="s">
        <v>34</v>
      </c>
      <c r="K454" s="1" t="s">
        <v>26</v>
      </c>
      <c r="L454" s="1">
        <v>5.0</v>
      </c>
      <c r="M454" s="3">
        <v>44830.0</v>
      </c>
      <c r="N454" s="4">
        <f t="shared" si="1"/>
        <v>9</v>
      </c>
      <c r="O454" s="4">
        <f t="shared" si="2"/>
        <v>2022</v>
      </c>
    </row>
    <row r="455">
      <c r="A455" s="1">
        <v>454.0</v>
      </c>
      <c r="B455" s="1" t="s">
        <v>112</v>
      </c>
      <c r="C455" s="1">
        <v>33.0</v>
      </c>
      <c r="D455" s="1" t="s">
        <v>16</v>
      </c>
      <c r="E455" s="1" t="s">
        <v>31</v>
      </c>
      <c r="F455" s="1" t="s">
        <v>37</v>
      </c>
      <c r="G455" s="1">
        <v>1.0</v>
      </c>
      <c r="H455" s="1">
        <v>75533.0</v>
      </c>
      <c r="I455" s="1" t="s">
        <v>33</v>
      </c>
      <c r="J455" s="1" t="s">
        <v>20</v>
      </c>
      <c r="K455" s="1" t="s">
        <v>26</v>
      </c>
      <c r="L455" s="1">
        <v>1.0</v>
      </c>
      <c r="M455" s="3">
        <v>45761.0</v>
      </c>
      <c r="N455" s="4">
        <f t="shared" si="1"/>
        <v>4</v>
      </c>
      <c r="O455" s="4">
        <f t="shared" si="2"/>
        <v>2025</v>
      </c>
    </row>
    <row r="456">
      <c r="A456" s="1">
        <v>455.0</v>
      </c>
      <c r="B456" s="1" t="s">
        <v>87</v>
      </c>
      <c r="C456" s="1">
        <v>43.0</v>
      </c>
      <c r="D456" s="1" t="s">
        <v>23</v>
      </c>
      <c r="E456" s="1" t="s">
        <v>31</v>
      </c>
      <c r="F456" s="1" t="s">
        <v>32</v>
      </c>
      <c r="G456" s="1">
        <v>15.0</v>
      </c>
      <c r="H456" s="1">
        <v>84155.0</v>
      </c>
      <c r="I456" s="1" t="s">
        <v>43</v>
      </c>
      <c r="J456" s="1" t="s">
        <v>34</v>
      </c>
      <c r="K456" s="1" t="s">
        <v>26</v>
      </c>
      <c r="L456" s="1">
        <v>5.0</v>
      </c>
      <c r="M456" s="3">
        <v>40763.0</v>
      </c>
      <c r="N456" s="4">
        <f t="shared" si="1"/>
        <v>8</v>
      </c>
      <c r="O456" s="4">
        <f t="shared" si="2"/>
        <v>2011</v>
      </c>
    </row>
    <row r="457">
      <c r="A457" s="1">
        <v>456.0</v>
      </c>
      <c r="B457" s="1" t="s">
        <v>68</v>
      </c>
      <c r="C457" s="1">
        <v>40.0</v>
      </c>
      <c r="D457" s="1" t="s">
        <v>23</v>
      </c>
      <c r="E457" s="1" t="s">
        <v>42</v>
      </c>
      <c r="F457" s="1" t="s">
        <v>24</v>
      </c>
      <c r="G457" s="1">
        <v>7.0</v>
      </c>
      <c r="H457" s="1">
        <v>70862.0</v>
      </c>
      <c r="I457" s="1" t="s">
        <v>51</v>
      </c>
      <c r="J457" s="1" t="s">
        <v>34</v>
      </c>
      <c r="K457" s="1" t="s">
        <v>26</v>
      </c>
      <c r="L457" s="1">
        <v>5.0</v>
      </c>
      <c r="M457" s="3">
        <v>43660.0</v>
      </c>
      <c r="N457" s="4">
        <f t="shared" si="1"/>
        <v>7</v>
      </c>
      <c r="O457" s="4">
        <f t="shared" si="2"/>
        <v>2019</v>
      </c>
    </row>
    <row r="458">
      <c r="A458" s="1">
        <v>457.0</v>
      </c>
      <c r="B458" s="1" t="s">
        <v>50</v>
      </c>
      <c r="C458" s="1">
        <v>28.0</v>
      </c>
      <c r="D458" s="1" t="s">
        <v>16</v>
      </c>
      <c r="E458" s="1" t="s">
        <v>39</v>
      </c>
      <c r="F458" s="1" t="s">
        <v>24</v>
      </c>
      <c r="G458" s="1">
        <v>15.0</v>
      </c>
      <c r="H458" s="1">
        <v>69192.0</v>
      </c>
      <c r="I458" s="1" t="s">
        <v>43</v>
      </c>
      <c r="J458" s="1" t="s">
        <v>29</v>
      </c>
      <c r="K458" s="1" t="s">
        <v>21</v>
      </c>
      <c r="L458" s="1">
        <v>4.0</v>
      </c>
      <c r="M458" s="3">
        <v>40639.0</v>
      </c>
      <c r="N458" s="4">
        <f t="shared" si="1"/>
        <v>4</v>
      </c>
      <c r="O458" s="4">
        <f t="shared" si="2"/>
        <v>2011</v>
      </c>
    </row>
    <row r="459">
      <c r="A459" s="1">
        <v>458.0</v>
      </c>
      <c r="B459" s="1" t="s">
        <v>78</v>
      </c>
      <c r="C459" s="1">
        <v>53.0</v>
      </c>
      <c r="D459" s="1" t="s">
        <v>23</v>
      </c>
      <c r="E459" s="1" t="s">
        <v>31</v>
      </c>
      <c r="F459" s="1" t="s">
        <v>18</v>
      </c>
      <c r="G459" s="1">
        <v>6.0</v>
      </c>
      <c r="H459" s="1">
        <v>67285.0</v>
      </c>
      <c r="I459" s="1" t="s">
        <v>19</v>
      </c>
      <c r="J459" s="1" t="s">
        <v>34</v>
      </c>
      <c r="K459" s="1" t="s">
        <v>21</v>
      </c>
      <c r="L459" s="1">
        <v>2.0</v>
      </c>
      <c r="M459" s="3">
        <v>44094.0</v>
      </c>
      <c r="N459" s="4">
        <f t="shared" si="1"/>
        <v>9</v>
      </c>
      <c r="O459" s="4">
        <f t="shared" si="2"/>
        <v>2020</v>
      </c>
    </row>
    <row r="460">
      <c r="A460" s="1">
        <v>459.0</v>
      </c>
      <c r="B460" s="1" t="s">
        <v>108</v>
      </c>
      <c r="C460" s="1">
        <v>47.0</v>
      </c>
      <c r="D460" s="1" t="s">
        <v>16</v>
      </c>
      <c r="E460" s="1" t="s">
        <v>42</v>
      </c>
      <c r="F460" s="1" t="s">
        <v>24</v>
      </c>
      <c r="G460" s="1">
        <v>2.0</v>
      </c>
      <c r="H460" s="1">
        <v>71942.0</v>
      </c>
      <c r="I460" s="1" t="s">
        <v>25</v>
      </c>
      <c r="J460" s="1" t="s">
        <v>20</v>
      </c>
      <c r="K460" s="1" t="s">
        <v>26</v>
      </c>
      <c r="L460" s="1">
        <v>1.0</v>
      </c>
      <c r="M460" s="3">
        <v>45353.0</v>
      </c>
      <c r="N460" s="4">
        <f t="shared" si="1"/>
        <v>3</v>
      </c>
      <c r="O460" s="4">
        <f t="shared" si="2"/>
        <v>2024</v>
      </c>
    </row>
    <row r="461">
      <c r="A461" s="1">
        <v>460.0</v>
      </c>
      <c r="B461" s="1" t="s">
        <v>73</v>
      </c>
      <c r="C461" s="1">
        <v>48.0</v>
      </c>
      <c r="D461" s="1" t="s">
        <v>23</v>
      </c>
      <c r="E461" s="1" t="s">
        <v>17</v>
      </c>
      <c r="F461" s="1" t="s">
        <v>37</v>
      </c>
      <c r="G461" s="1">
        <v>7.0</v>
      </c>
      <c r="H461" s="1">
        <v>88640.0</v>
      </c>
      <c r="I461" s="1" t="s">
        <v>25</v>
      </c>
      <c r="J461" s="1" t="s">
        <v>29</v>
      </c>
      <c r="K461" s="1" t="s">
        <v>26</v>
      </c>
      <c r="L461" s="1">
        <v>1.0</v>
      </c>
      <c r="M461" s="3">
        <v>43595.0</v>
      </c>
      <c r="N461" s="4">
        <f t="shared" si="1"/>
        <v>5</v>
      </c>
      <c r="O461" s="4">
        <f t="shared" si="2"/>
        <v>2019</v>
      </c>
    </row>
    <row r="462">
      <c r="A462" s="1">
        <v>461.0</v>
      </c>
      <c r="B462" s="1" t="s">
        <v>58</v>
      </c>
      <c r="C462" s="1">
        <v>60.0</v>
      </c>
      <c r="D462" s="1" t="s">
        <v>23</v>
      </c>
      <c r="E462" s="1" t="s">
        <v>31</v>
      </c>
      <c r="F462" s="1" t="s">
        <v>18</v>
      </c>
      <c r="G462" s="1">
        <v>7.0</v>
      </c>
      <c r="H462" s="1">
        <v>79813.0</v>
      </c>
      <c r="I462" s="1" t="s">
        <v>51</v>
      </c>
      <c r="J462" s="1" t="s">
        <v>20</v>
      </c>
      <c r="K462" s="1" t="s">
        <v>21</v>
      </c>
      <c r="L462" s="1">
        <v>3.0</v>
      </c>
      <c r="M462" s="3">
        <v>43515.0</v>
      </c>
      <c r="N462" s="4">
        <f t="shared" si="1"/>
        <v>2</v>
      </c>
      <c r="O462" s="4">
        <f t="shared" si="2"/>
        <v>2019</v>
      </c>
    </row>
    <row r="463">
      <c r="A463" s="1">
        <v>462.0</v>
      </c>
      <c r="B463" s="1" t="s">
        <v>96</v>
      </c>
      <c r="C463" s="1">
        <v>32.0</v>
      </c>
      <c r="D463" s="1" t="s">
        <v>23</v>
      </c>
      <c r="E463" s="1" t="s">
        <v>28</v>
      </c>
      <c r="F463" s="1" t="s">
        <v>37</v>
      </c>
      <c r="G463" s="1">
        <v>0.0</v>
      </c>
      <c r="H463" s="1">
        <v>110625.0</v>
      </c>
      <c r="I463" s="1" t="s">
        <v>33</v>
      </c>
      <c r="J463" s="1" t="s">
        <v>20</v>
      </c>
      <c r="K463" s="1" t="s">
        <v>26</v>
      </c>
      <c r="L463" s="1">
        <v>1.0</v>
      </c>
      <c r="M463" s="3">
        <v>46194.0</v>
      </c>
      <c r="N463" s="4">
        <f t="shared" si="1"/>
        <v>6</v>
      </c>
      <c r="O463" s="4">
        <f t="shared" si="2"/>
        <v>2026</v>
      </c>
    </row>
    <row r="464">
      <c r="A464" s="1">
        <v>463.0</v>
      </c>
      <c r="B464" s="1" t="s">
        <v>120</v>
      </c>
      <c r="C464" s="1">
        <v>38.0</v>
      </c>
      <c r="D464" s="1" t="s">
        <v>16</v>
      </c>
      <c r="E464" s="1" t="s">
        <v>42</v>
      </c>
      <c r="F464" s="1" t="s">
        <v>18</v>
      </c>
      <c r="G464" s="1">
        <v>2.0</v>
      </c>
      <c r="H464" s="1">
        <v>52842.0</v>
      </c>
      <c r="I464" s="1" t="s">
        <v>43</v>
      </c>
      <c r="J464" s="1" t="s">
        <v>20</v>
      </c>
      <c r="K464" s="1" t="s">
        <v>26</v>
      </c>
      <c r="L464" s="1">
        <v>1.0</v>
      </c>
      <c r="M464" s="3">
        <v>45608.0</v>
      </c>
      <c r="N464" s="4">
        <f t="shared" si="1"/>
        <v>11</v>
      </c>
      <c r="O464" s="4">
        <f t="shared" si="2"/>
        <v>2024</v>
      </c>
    </row>
    <row r="465">
      <c r="A465" s="1">
        <v>464.0</v>
      </c>
      <c r="B465" s="1" t="s">
        <v>95</v>
      </c>
      <c r="C465" s="1">
        <v>51.0</v>
      </c>
      <c r="D465" s="1" t="s">
        <v>23</v>
      </c>
      <c r="E465" s="1" t="s">
        <v>36</v>
      </c>
      <c r="F465" s="1" t="s">
        <v>32</v>
      </c>
      <c r="G465" s="1">
        <v>3.0</v>
      </c>
      <c r="H465" s="1">
        <v>68197.0</v>
      </c>
      <c r="I465" s="1" t="s">
        <v>19</v>
      </c>
      <c r="J465" s="1" t="s">
        <v>20</v>
      </c>
      <c r="K465" s="1" t="s">
        <v>26</v>
      </c>
      <c r="L465" s="1">
        <v>2.0</v>
      </c>
      <c r="M465" s="3">
        <v>45163.0</v>
      </c>
      <c r="N465" s="4">
        <f t="shared" si="1"/>
        <v>8</v>
      </c>
      <c r="O465" s="4">
        <f t="shared" si="2"/>
        <v>2023</v>
      </c>
    </row>
    <row r="466">
      <c r="A466" s="1">
        <v>465.0</v>
      </c>
      <c r="B466" s="1" t="s">
        <v>106</v>
      </c>
      <c r="C466" s="1">
        <v>58.0</v>
      </c>
      <c r="D466" s="1" t="s">
        <v>23</v>
      </c>
      <c r="E466" s="1" t="s">
        <v>31</v>
      </c>
      <c r="F466" s="1" t="s">
        <v>37</v>
      </c>
      <c r="G466" s="1">
        <v>14.0</v>
      </c>
      <c r="H466" s="1">
        <v>105304.0</v>
      </c>
      <c r="I466" s="1" t="s">
        <v>33</v>
      </c>
      <c r="J466" s="1" t="s">
        <v>29</v>
      </c>
      <c r="K466" s="1" t="s">
        <v>21</v>
      </c>
      <c r="L466" s="1">
        <v>2.0</v>
      </c>
      <c r="M466" s="3">
        <v>40995.0</v>
      </c>
      <c r="N466" s="4">
        <f t="shared" si="1"/>
        <v>3</v>
      </c>
      <c r="O466" s="4">
        <f t="shared" si="2"/>
        <v>2012</v>
      </c>
    </row>
    <row r="467">
      <c r="A467" s="1">
        <v>466.0</v>
      </c>
      <c r="B467" s="1" t="s">
        <v>56</v>
      </c>
      <c r="C467" s="1">
        <v>45.0</v>
      </c>
      <c r="D467" s="1" t="s">
        <v>23</v>
      </c>
      <c r="E467" s="1" t="s">
        <v>36</v>
      </c>
      <c r="F467" s="1" t="s">
        <v>37</v>
      </c>
      <c r="G467" s="1">
        <v>15.0</v>
      </c>
      <c r="H467" s="1">
        <v>85145.0</v>
      </c>
      <c r="I467" s="1" t="s">
        <v>43</v>
      </c>
      <c r="J467" s="1" t="s">
        <v>20</v>
      </c>
      <c r="K467" s="1" t="s">
        <v>26</v>
      </c>
      <c r="L467" s="1">
        <v>3.0</v>
      </c>
      <c r="M467" s="3">
        <v>40802.0</v>
      </c>
      <c r="N467" s="4">
        <f t="shared" si="1"/>
        <v>9</v>
      </c>
      <c r="O467" s="4">
        <f t="shared" si="2"/>
        <v>2011</v>
      </c>
    </row>
    <row r="468">
      <c r="A468" s="1">
        <v>467.0</v>
      </c>
      <c r="B468" s="1" t="s">
        <v>138</v>
      </c>
      <c r="C468" s="1">
        <v>44.0</v>
      </c>
      <c r="D468" s="1" t="s">
        <v>23</v>
      </c>
      <c r="E468" s="1" t="s">
        <v>42</v>
      </c>
      <c r="F468" s="1" t="s">
        <v>37</v>
      </c>
      <c r="G468" s="1">
        <v>14.0</v>
      </c>
      <c r="H468" s="1">
        <v>107909.0</v>
      </c>
      <c r="I468" s="1" t="s">
        <v>38</v>
      </c>
      <c r="J468" s="1" t="s">
        <v>34</v>
      </c>
      <c r="K468" s="1" t="s">
        <v>21</v>
      </c>
      <c r="L468" s="1">
        <v>4.0</v>
      </c>
      <c r="M468" s="3">
        <v>41139.0</v>
      </c>
      <c r="N468" s="4">
        <f t="shared" si="1"/>
        <v>8</v>
      </c>
      <c r="O468" s="4">
        <f t="shared" si="2"/>
        <v>2012</v>
      </c>
    </row>
    <row r="469">
      <c r="A469" s="1">
        <v>468.0</v>
      </c>
      <c r="B469" s="1" t="s">
        <v>67</v>
      </c>
      <c r="C469" s="1">
        <v>55.0</v>
      </c>
      <c r="D469" s="1" t="s">
        <v>16</v>
      </c>
      <c r="E469" s="1" t="s">
        <v>17</v>
      </c>
      <c r="F469" s="1" t="s">
        <v>49</v>
      </c>
      <c r="G469" s="1">
        <v>5.0</v>
      </c>
      <c r="H469" s="1">
        <v>93401.0</v>
      </c>
      <c r="I469" s="1" t="s">
        <v>19</v>
      </c>
      <c r="J469" s="1" t="s">
        <v>34</v>
      </c>
      <c r="K469" s="1" t="s">
        <v>26</v>
      </c>
      <c r="L469" s="1">
        <v>5.0</v>
      </c>
      <c r="M469" s="3">
        <v>44389.0</v>
      </c>
      <c r="N469" s="4">
        <f t="shared" si="1"/>
        <v>7</v>
      </c>
      <c r="O469" s="4">
        <f t="shared" si="2"/>
        <v>2021</v>
      </c>
    </row>
    <row r="470">
      <c r="A470" s="1">
        <v>469.0</v>
      </c>
      <c r="B470" s="1" t="s">
        <v>85</v>
      </c>
      <c r="C470" s="1">
        <v>45.0</v>
      </c>
      <c r="D470" s="1" t="s">
        <v>16</v>
      </c>
      <c r="E470" s="1" t="s">
        <v>31</v>
      </c>
      <c r="F470" s="1" t="s">
        <v>24</v>
      </c>
      <c r="G470" s="1">
        <v>10.0</v>
      </c>
      <c r="H470" s="1">
        <v>91535.0</v>
      </c>
      <c r="I470" s="1" t="s">
        <v>38</v>
      </c>
      <c r="J470" s="1" t="s">
        <v>29</v>
      </c>
      <c r="K470" s="1" t="s">
        <v>26</v>
      </c>
      <c r="L470" s="1">
        <v>4.0</v>
      </c>
      <c r="M470" s="3">
        <v>42498.0</v>
      </c>
      <c r="N470" s="4">
        <f t="shared" si="1"/>
        <v>5</v>
      </c>
      <c r="O470" s="4">
        <f t="shared" si="2"/>
        <v>2016</v>
      </c>
    </row>
    <row r="471">
      <c r="A471" s="1">
        <v>470.0</v>
      </c>
      <c r="B471" s="1" t="s">
        <v>87</v>
      </c>
      <c r="C471" s="1">
        <v>60.0</v>
      </c>
      <c r="D471" s="1" t="s">
        <v>16</v>
      </c>
      <c r="E471" s="1" t="s">
        <v>39</v>
      </c>
      <c r="F471" s="1" t="s">
        <v>49</v>
      </c>
      <c r="G471" s="1">
        <v>9.0</v>
      </c>
      <c r="H471" s="1">
        <v>109417.0</v>
      </c>
      <c r="I471" s="1" t="s">
        <v>51</v>
      </c>
      <c r="J471" s="1" t="s">
        <v>34</v>
      </c>
      <c r="K471" s="1" t="s">
        <v>21</v>
      </c>
      <c r="L471" s="1">
        <v>3.0</v>
      </c>
      <c r="M471" s="3">
        <v>43060.0</v>
      </c>
      <c r="N471" s="4">
        <f t="shared" si="1"/>
        <v>11</v>
      </c>
      <c r="O471" s="4">
        <f t="shared" si="2"/>
        <v>2017</v>
      </c>
    </row>
    <row r="472">
      <c r="A472" s="1">
        <v>471.0</v>
      </c>
      <c r="B472" s="1" t="s">
        <v>44</v>
      </c>
      <c r="C472" s="1">
        <v>35.0</v>
      </c>
      <c r="D472" s="1" t="s">
        <v>23</v>
      </c>
      <c r="E472" s="1" t="s">
        <v>39</v>
      </c>
      <c r="F472" s="1" t="s">
        <v>32</v>
      </c>
      <c r="G472" s="1">
        <v>11.0</v>
      </c>
      <c r="H472" s="1">
        <v>29694.0</v>
      </c>
      <c r="I472" s="1" t="s">
        <v>51</v>
      </c>
      <c r="J472" s="1" t="s">
        <v>29</v>
      </c>
      <c r="K472" s="1" t="s">
        <v>26</v>
      </c>
      <c r="L472" s="1">
        <v>2.0</v>
      </c>
      <c r="M472" s="3">
        <v>42180.0</v>
      </c>
      <c r="N472" s="4">
        <f t="shared" si="1"/>
        <v>6</v>
      </c>
      <c r="O472" s="4">
        <f t="shared" si="2"/>
        <v>2015</v>
      </c>
    </row>
    <row r="473">
      <c r="A473" s="1">
        <v>472.0</v>
      </c>
      <c r="B473" s="1" t="s">
        <v>47</v>
      </c>
      <c r="C473" s="1">
        <v>34.0</v>
      </c>
      <c r="D473" s="1" t="s">
        <v>23</v>
      </c>
      <c r="E473" s="1" t="s">
        <v>17</v>
      </c>
      <c r="F473" s="1" t="s">
        <v>49</v>
      </c>
      <c r="G473" s="1">
        <v>4.0</v>
      </c>
      <c r="H473" s="1">
        <v>115289.0</v>
      </c>
      <c r="I473" s="1" t="s">
        <v>43</v>
      </c>
      <c r="J473" s="1" t="s">
        <v>34</v>
      </c>
      <c r="K473" s="1" t="s">
        <v>26</v>
      </c>
      <c r="L473" s="1">
        <v>4.0</v>
      </c>
      <c r="M473" s="3">
        <v>44729.0</v>
      </c>
      <c r="N473" s="4">
        <f t="shared" si="1"/>
        <v>6</v>
      </c>
      <c r="O473" s="4">
        <f t="shared" si="2"/>
        <v>2022</v>
      </c>
    </row>
    <row r="474">
      <c r="A474" s="1">
        <v>473.0</v>
      </c>
      <c r="B474" s="1" t="s">
        <v>99</v>
      </c>
      <c r="C474" s="1">
        <v>58.0</v>
      </c>
      <c r="D474" s="1" t="s">
        <v>16</v>
      </c>
      <c r="E474" s="1" t="s">
        <v>42</v>
      </c>
      <c r="F474" s="1" t="s">
        <v>18</v>
      </c>
      <c r="G474" s="1">
        <v>11.0</v>
      </c>
      <c r="H474" s="1">
        <v>37234.0</v>
      </c>
      <c r="I474" s="1" t="s">
        <v>33</v>
      </c>
      <c r="J474" s="1" t="s">
        <v>20</v>
      </c>
      <c r="K474" s="1" t="s">
        <v>26</v>
      </c>
      <c r="L474" s="1">
        <v>4.0</v>
      </c>
      <c r="M474" s="3">
        <v>42248.0</v>
      </c>
      <c r="N474" s="4">
        <f t="shared" si="1"/>
        <v>9</v>
      </c>
      <c r="O474" s="4">
        <f t="shared" si="2"/>
        <v>2015</v>
      </c>
    </row>
    <row r="475">
      <c r="A475" s="1">
        <v>474.0</v>
      </c>
      <c r="B475" s="1" t="s">
        <v>86</v>
      </c>
      <c r="C475" s="1">
        <v>48.0</v>
      </c>
      <c r="D475" s="1" t="s">
        <v>23</v>
      </c>
      <c r="E475" s="1" t="s">
        <v>17</v>
      </c>
      <c r="F475" s="1" t="s">
        <v>18</v>
      </c>
      <c r="G475" s="1">
        <v>2.0</v>
      </c>
      <c r="H475" s="1">
        <v>78228.0</v>
      </c>
      <c r="I475" s="1" t="s">
        <v>51</v>
      </c>
      <c r="J475" s="1" t="s">
        <v>20</v>
      </c>
      <c r="K475" s="1" t="s">
        <v>21</v>
      </c>
      <c r="L475" s="1">
        <v>2.0</v>
      </c>
      <c r="M475" s="3">
        <v>45422.0</v>
      </c>
      <c r="N475" s="4">
        <f t="shared" si="1"/>
        <v>5</v>
      </c>
      <c r="O475" s="4">
        <f t="shared" si="2"/>
        <v>2024</v>
      </c>
    </row>
    <row r="476">
      <c r="A476" s="1">
        <v>475.0</v>
      </c>
      <c r="B476" s="1" t="s">
        <v>91</v>
      </c>
      <c r="C476" s="1">
        <v>37.0</v>
      </c>
      <c r="D476" s="1" t="s">
        <v>16</v>
      </c>
      <c r="E476" s="1" t="s">
        <v>42</v>
      </c>
      <c r="F476" s="1" t="s">
        <v>37</v>
      </c>
      <c r="G476" s="1">
        <v>13.0</v>
      </c>
      <c r="H476" s="1">
        <v>110181.0</v>
      </c>
      <c r="I476" s="1" t="s">
        <v>25</v>
      </c>
      <c r="J476" s="1" t="s">
        <v>29</v>
      </c>
      <c r="K476" s="1" t="s">
        <v>21</v>
      </c>
      <c r="L476" s="1">
        <v>5.0</v>
      </c>
      <c r="M476" s="3">
        <v>41522.0</v>
      </c>
      <c r="N476" s="4">
        <f t="shared" si="1"/>
        <v>9</v>
      </c>
      <c r="O476" s="4">
        <f t="shared" si="2"/>
        <v>2013</v>
      </c>
    </row>
    <row r="477">
      <c r="A477" s="1">
        <v>476.0</v>
      </c>
      <c r="B477" s="1" t="s">
        <v>109</v>
      </c>
      <c r="C477" s="1">
        <v>38.0</v>
      </c>
      <c r="D477" s="1" t="s">
        <v>16</v>
      </c>
      <c r="E477" s="1" t="s">
        <v>39</v>
      </c>
      <c r="F477" s="1" t="s">
        <v>49</v>
      </c>
      <c r="G477" s="1">
        <v>7.0</v>
      </c>
      <c r="H477" s="1">
        <v>83608.0</v>
      </c>
      <c r="I477" s="1" t="s">
        <v>25</v>
      </c>
      <c r="J477" s="1" t="s">
        <v>34</v>
      </c>
      <c r="K477" s="1" t="s">
        <v>21</v>
      </c>
      <c r="L477" s="1">
        <v>5.0</v>
      </c>
      <c r="M477" s="3">
        <v>43778.0</v>
      </c>
      <c r="N477" s="4">
        <f t="shared" si="1"/>
        <v>11</v>
      </c>
      <c r="O477" s="4">
        <f t="shared" si="2"/>
        <v>2019</v>
      </c>
    </row>
    <row r="478">
      <c r="A478" s="1">
        <v>477.0</v>
      </c>
      <c r="B478" s="1" t="s">
        <v>112</v>
      </c>
      <c r="C478" s="1">
        <v>52.0</v>
      </c>
      <c r="D478" s="1" t="s">
        <v>16</v>
      </c>
      <c r="E478" s="1" t="s">
        <v>36</v>
      </c>
      <c r="F478" s="1" t="s">
        <v>18</v>
      </c>
      <c r="G478" s="1">
        <v>3.0</v>
      </c>
      <c r="H478" s="1">
        <v>102915.0</v>
      </c>
      <c r="I478" s="1" t="s">
        <v>51</v>
      </c>
      <c r="J478" s="1" t="s">
        <v>29</v>
      </c>
      <c r="K478" s="1" t="s">
        <v>21</v>
      </c>
      <c r="L478" s="1">
        <v>2.0</v>
      </c>
      <c r="M478" s="3">
        <v>44978.0</v>
      </c>
      <c r="N478" s="4">
        <f t="shared" si="1"/>
        <v>2</v>
      </c>
      <c r="O478" s="4">
        <f t="shared" si="2"/>
        <v>2023</v>
      </c>
    </row>
    <row r="479">
      <c r="A479" s="1">
        <v>478.0</v>
      </c>
      <c r="B479" s="1" t="s">
        <v>58</v>
      </c>
      <c r="C479" s="1">
        <v>59.0</v>
      </c>
      <c r="D479" s="1" t="s">
        <v>16</v>
      </c>
      <c r="E479" s="1" t="s">
        <v>42</v>
      </c>
      <c r="F479" s="1" t="s">
        <v>49</v>
      </c>
      <c r="G479" s="1">
        <v>2.0</v>
      </c>
      <c r="H479" s="1">
        <v>82990.0</v>
      </c>
      <c r="I479" s="1" t="s">
        <v>33</v>
      </c>
      <c r="J479" s="1" t="s">
        <v>20</v>
      </c>
      <c r="K479" s="1" t="s">
        <v>26</v>
      </c>
      <c r="L479" s="1">
        <v>5.0</v>
      </c>
      <c r="M479" s="3">
        <v>45350.0</v>
      </c>
      <c r="N479" s="4">
        <f t="shared" si="1"/>
        <v>2</v>
      </c>
      <c r="O479" s="4">
        <f t="shared" si="2"/>
        <v>2024</v>
      </c>
    </row>
    <row r="480">
      <c r="A480" s="1">
        <v>479.0</v>
      </c>
      <c r="B480" s="1" t="s">
        <v>65</v>
      </c>
      <c r="C480" s="1">
        <v>57.0</v>
      </c>
      <c r="D480" s="1" t="s">
        <v>23</v>
      </c>
      <c r="E480" s="1" t="s">
        <v>28</v>
      </c>
      <c r="F480" s="1" t="s">
        <v>32</v>
      </c>
      <c r="G480" s="1">
        <v>2.0</v>
      </c>
      <c r="H480" s="1">
        <v>45686.0</v>
      </c>
      <c r="I480" s="1" t="s">
        <v>33</v>
      </c>
      <c r="J480" s="1" t="s">
        <v>29</v>
      </c>
      <c r="K480" s="1" t="s">
        <v>21</v>
      </c>
      <c r="L480" s="1">
        <v>1.0</v>
      </c>
      <c r="M480" s="3">
        <v>45444.0</v>
      </c>
      <c r="N480" s="4">
        <f t="shared" si="1"/>
        <v>6</v>
      </c>
      <c r="O480" s="4">
        <f t="shared" si="2"/>
        <v>2024</v>
      </c>
    </row>
    <row r="481">
      <c r="A481" s="1">
        <v>480.0</v>
      </c>
      <c r="B481" s="1" t="s">
        <v>92</v>
      </c>
      <c r="C481" s="1">
        <v>46.0</v>
      </c>
      <c r="D481" s="1" t="s">
        <v>16</v>
      </c>
      <c r="E481" s="1" t="s">
        <v>31</v>
      </c>
      <c r="F481" s="1" t="s">
        <v>32</v>
      </c>
      <c r="G481" s="1">
        <v>4.0</v>
      </c>
      <c r="H481" s="1">
        <v>45508.0</v>
      </c>
      <c r="I481" s="1" t="s">
        <v>38</v>
      </c>
      <c r="J481" s="1" t="s">
        <v>20</v>
      </c>
      <c r="K481" s="1" t="s">
        <v>26</v>
      </c>
      <c r="L481" s="1">
        <v>4.0</v>
      </c>
      <c r="M481" s="3">
        <v>44566.0</v>
      </c>
      <c r="N481" s="4">
        <f t="shared" si="1"/>
        <v>1</v>
      </c>
      <c r="O481" s="4">
        <f t="shared" si="2"/>
        <v>2022</v>
      </c>
    </row>
    <row r="482">
      <c r="A482" s="1">
        <v>481.0</v>
      </c>
      <c r="B482" s="1" t="s">
        <v>136</v>
      </c>
      <c r="C482" s="1">
        <v>57.0</v>
      </c>
      <c r="D482" s="1" t="s">
        <v>16</v>
      </c>
      <c r="E482" s="1" t="s">
        <v>42</v>
      </c>
      <c r="F482" s="1" t="s">
        <v>18</v>
      </c>
      <c r="G482" s="1">
        <v>6.0</v>
      </c>
      <c r="H482" s="1">
        <v>61945.0</v>
      </c>
      <c r="I482" s="1" t="s">
        <v>38</v>
      </c>
      <c r="J482" s="1" t="s">
        <v>34</v>
      </c>
      <c r="K482" s="1" t="s">
        <v>26</v>
      </c>
      <c r="L482" s="1">
        <v>3.0</v>
      </c>
      <c r="M482" s="3">
        <v>43855.0</v>
      </c>
      <c r="N482" s="4">
        <f t="shared" si="1"/>
        <v>1</v>
      </c>
      <c r="O482" s="4">
        <f t="shared" si="2"/>
        <v>2020</v>
      </c>
    </row>
    <row r="483">
      <c r="A483" s="1">
        <v>482.0</v>
      </c>
      <c r="B483" s="1" t="s">
        <v>62</v>
      </c>
      <c r="C483" s="1">
        <v>39.0</v>
      </c>
      <c r="D483" s="1" t="s">
        <v>16</v>
      </c>
      <c r="E483" s="1" t="s">
        <v>42</v>
      </c>
      <c r="F483" s="1" t="s">
        <v>24</v>
      </c>
      <c r="G483" s="1">
        <v>5.0</v>
      </c>
      <c r="H483" s="1">
        <v>61209.0</v>
      </c>
      <c r="I483" s="1" t="s">
        <v>25</v>
      </c>
      <c r="J483" s="1" t="s">
        <v>20</v>
      </c>
      <c r="K483" s="1" t="s">
        <v>26</v>
      </c>
      <c r="L483" s="1">
        <v>1.0</v>
      </c>
      <c r="M483" s="3">
        <v>44488.0</v>
      </c>
      <c r="N483" s="4">
        <f t="shared" si="1"/>
        <v>10</v>
      </c>
      <c r="O483" s="4">
        <f t="shared" si="2"/>
        <v>2021</v>
      </c>
    </row>
    <row r="484">
      <c r="A484" s="1">
        <v>483.0</v>
      </c>
      <c r="B484" s="1" t="s">
        <v>66</v>
      </c>
      <c r="C484" s="1">
        <v>33.0</v>
      </c>
      <c r="D484" s="1" t="s">
        <v>16</v>
      </c>
      <c r="E484" s="1" t="s">
        <v>28</v>
      </c>
      <c r="F484" s="1" t="s">
        <v>32</v>
      </c>
      <c r="G484" s="1">
        <v>8.0</v>
      </c>
      <c r="H484" s="1">
        <v>95026.0</v>
      </c>
      <c r="I484" s="1" t="s">
        <v>19</v>
      </c>
      <c r="J484" s="1" t="s">
        <v>34</v>
      </c>
      <c r="K484" s="1" t="s">
        <v>26</v>
      </c>
      <c r="L484" s="1">
        <v>1.0</v>
      </c>
      <c r="M484" s="3">
        <v>43335.0</v>
      </c>
      <c r="N484" s="4">
        <f t="shared" si="1"/>
        <v>8</v>
      </c>
      <c r="O484" s="4">
        <f t="shared" si="2"/>
        <v>2018</v>
      </c>
    </row>
    <row r="485">
      <c r="A485" s="1">
        <v>484.0</v>
      </c>
      <c r="B485" s="1" t="s">
        <v>62</v>
      </c>
      <c r="C485" s="1">
        <v>25.0</v>
      </c>
      <c r="D485" s="1" t="s">
        <v>23</v>
      </c>
      <c r="E485" s="1" t="s">
        <v>31</v>
      </c>
      <c r="F485" s="1" t="s">
        <v>18</v>
      </c>
      <c r="G485" s="1">
        <v>1.0</v>
      </c>
      <c r="H485" s="1">
        <v>106411.0</v>
      </c>
      <c r="I485" s="1" t="s">
        <v>19</v>
      </c>
      <c r="J485" s="1" t="s">
        <v>20</v>
      </c>
      <c r="K485" s="1" t="s">
        <v>21</v>
      </c>
      <c r="L485" s="1">
        <v>1.0</v>
      </c>
      <c r="M485" s="3">
        <v>46005.0</v>
      </c>
      <c r="N485" s="4">
        <f t="shared" si="1"/>
        <v>12</v>
      </c>
      <c r="O485" s="4">
        <f t="shared" si="2"/>
        <v>2025</v>
      </c>
    </row>
    <row r="486">
      <c r="A486" s="1">
        <v>485.0</v>
      </c>
      <c r="B486" s="1" t="s">
        <v>91</v>
      </c>
      <c r="C486" s="1">
        <v>58.0</v>
      </c>
      <c r="D486" s="1" t="s">
        <v>23</v>
      </c>
      <c r="E486" s="1" t="s">
        <v>42</v>
      </c>
      <c r="F486" s="1" t="s">
        <v>37</v>
      </c>
      <c r="G486" s="1">
        <v>7.0</v>
      </c>
      <c r="H486" s="1">
        <v>39493.0</v>
      </c>
      <c r="I486" s="1" t="s">
        <v>33</v>
      </c>
      <c r="J486" s="1" t="s">
        <v>20</v>
      </c>
      <c r="K486" s="1" t="s">
        <v>26</v>
      </c>
      <c r="L486" s="1">
        <v>1.0</v>
      </c>
      <c r="M486" s="3">
        <v>43797.0</v>
      </c>
      <c r="N486" s="4">
        <f t="shared" si="1"/>
        <v>11</v>
      </c>
      <c r="O486" s="4">
        <f t="shared" si="2"/>
        <v>2019</v>
      </c>
    </row>
    <row r="487">
      <c r="A487" s="1">
        <v>486.0</v>
      </c>
      <c r="B487" s="1" t="s">
        <v>58</v>
      </c>
      <c r="C487" s="1">
        <v>57.0</v>
      </c>
      <c r="D487" s="1" t="s">
        <v>23</v>
      </c>
      <c r="E487" s="1" t="s">
        <v>36</v>
      </c>
      <c r="F487" s="1" t="s">
        <v>32</v>
      </c>
      <c r="G487" s="1">
        <v>6.0</v>
      </c>
      <c r="H487" s="1">
        <v>68008.0</v>
      </c>
      <c r="I487" s="1" t="s">
        <v>25</v>
      </c>
      <c r="J487" s="1" t="s">
        <v>34</v>
      </c>
      <c r="K487" s="1" t="s">
        <v>26</v>
      </c>
      <c r="L487" s="1">
        <v>4.0</v>
      </c>
      <c r="M487" s="3">
        <v>43898.0</v>
      </c>
      <c r="N487" s="4">
        <f t="shared" si="1"/>
        <v>3</v>
      </c>
      <c r="O487" s="4">
        <f t="shared" si="2"/>
        <v>2020</v>
      </c>
    </row>
    <row r="488">
      <c r="A488" s="1">
        <v>487.0</v>
      </c>
      <c r="B488" s="1" t="s">
        <v>105</v>
      </c>
      <c r="C488" s="1">
        <v>24.0</v>
      </c>
      <c r="D488" s="1" t="s">
        <v>23</v>
      </c>
      <c r="E488" s="1" t="s">
        <v>36</v>
      </c>
      <c r="F488" s="1" t="s">
        <v>18</v>
      </c>
      <c r="G488" s="1">
        <v>6.0</v>
      </c>
      <c r="H488" s="1">
        <v>77841.0</v>
      </c>
      <c r="I488" s="1" t="s">
        <v>33</v>
      </c>
      <c r="J488" s="1" t="s">
        <v>20</v>
      </c>
      <c r="K488" s="1" t="s">
        <v>21</v>
      </c>
      <c r="L488" s="1">
        <v>1.0</v>
      </c>
      <c r="M488" s="3">
        <v>44069.0</v>
      </c>
      <c r="N488" s="4">
        <f t="shared" si="1"/>
        <v>8</v>
      </c>
      <c r="O488" s="4">
        <f t="shared" si="2"/>
        <v>2020</v>
      </c>
    </row>
    <row r="489">
      <c r="A489" s="1">
        <v>488.0</v>
      </c>
      <c r="B489" s="1" t="s">
        <v>99</v>
      </c>
      <c r="C489" s="1">
        <v>24.0</v>
      </c>
      <c r="D489" s="1" t="s">
        <v>23</v>
      </c>
      <c r="E489" s="1" t="s">
        <v>31</v>
      </c>
      <c r="F489" s="1" t="s">
        <v>37</v>
      </c>
      <c r="G489" s="1">
        <v>7.0</v>
      </c>
      <c r="H489" s="1">
        <v>56229.0</v>
      </c>
      <c r="I489" s="1" t="s">
        <v>33</v>
      </c>
      <c r="J489" s="1" t="s">
        <v>20</v>
      </c>
      <c r="K489" s="1" t="s">
        <v>26</v>
      </c>
      <c r="L489" s="1">
        <v>2.0</v>
      </c>
      <c r="M489" s="3">
        <v>43674.0</v>
      </c>
      <c r="N489" s="4">
        <f t="shared" si="1"/>
        <v>7</v>
      </c>
      <c r="O489" s="4">
        <f t="shared" si="2"/>
        <v>2019</v>
      </c>
    </row>
    <row r="490">
      <c r="A490" s="1">
        <v>489.0</v>
      </c>
      <c r="B490" s="1" t="s">
        <v>99</v>
      </c>
      <c r="C490" s="1">
        <v>42.0</v>
      </c>
      <c r="D490" s="1" t="s">
        <v>16</v>
      </c>
      <c r="E490" s="1" t="s">
        <v>17</v>
      </c>
      <c r="F490" s="1" t="s">
        <v>37</v>
      </c>
      <c r="G490" s="1">
        <v>15.0</v>
      </c>
      <c r="H490" s="1">
        <v>57435.0</v>
      </c>
      <c r="I490" s="1" t="s">
        <v>43</v>
      </c>
      <c r="J490" s="1" t="s">
        <v>29</v>
      </c>
      <c r="K490" s="1" t="s">
        <v>26</v>
      </c>
      <c r="L490" s="1">
        <v>3.0</v>
      </c>
      <c r="M490" s="3">
        <v>40637.0</v>
      </c>
      <c r="N490" s="4">
        <f t="shared" si="1"/>
        <v>4</v>
      </c>
      <c r="O490" s="4">
        <f t="shared" si="2"/>
        <v>2011</v>
      </c>
    </row>
    <row r="491">
      <c r="A491" s="1">
        <v>490.0</v>
      </c>
      <c r="B491" s="1" t="s">
        <v>57</v>
      </c>
      <c r="C491" s="1">
        <v>37.0</v>
      </c>
      <c r="D491" s="1" t="s">
        <v>23</v>
      </c>
      <c r="E491" s="1" t="s">
        <v>42</v>
      </c>
      <c r="F491" s="1" t="s">
        <v>18</v>
      </c>
      <c r="G491" s="1">
        <v>6.0</v>
      </c>
      <c r="H491" s="1">
        <v>48008.0</v>
      </c>
      <c r="I491" s="1" t="s">
        <v>25</v>
      </c>
      <c r="J491" s="1" t="s">
        <v>34</v>
      </c>
      <c r="K491" s="1" t="s">
        <v>26</v>
      </c>
      <c r="L491" s="1">
        <v>5.0</v>
      </c>
      <c r="M491" s="3">
        <v>44061.0</v>
      </c>
      <c r="N491" s="4">
        <f t="shared" si="1"/>
        <v>8</v>
      </c>
      <c r="O491" s="4">
        <f t="shared" si="2"/>
        <v>2020</v>
      </c>
    </row>
    <row r="492">
      <c r="A492" s="1">
        <v>491.0</v>
      </c>
      <c r="B492" s="1" t="s">
        <v>75</v>
      </c>
      <c r="C492" s="1">
        <v>52.0</v>
      </c>
      <c r="D492" s="1" t="s">
        <v>16</v>
      </c>
      <c r="E492" s="1" t="s">
        <v>28</v>
      </c>
      <c r="F492" s="1" t="s">
        <v>18</v>
      </c>
      <c r="G492" s="1">
        <v>7.0</v>
      </c>
      <c r="H492" s="1">
        <v>82918.0</v>
      </c>
      <c r="I492" s="1" t="s">
        <v>38</v>
      </c>
      <c r="J492" s="1" t="s">
        <v>20</v>
      </c>
      <c r="K492" s="1" t="s">
        <v>26</v>
      </c>
      <c r="L492" s="1">
        <v>2.0</v>
      </c>
      <c r="M492" s="3">
        <v>43600.0</v>
      </c>
      <c r="N492" s="4">
        <f t="shared" si="1"/>
        <v>5</v>
      </c>
      <c r="O492" s="4">
        <f t="shared" si="2"/>
        <v>2019</v>
      </c>
    </row>
    <row r="493">
      <c r="A493" s="1">
        <v>492.0</v>
      </c>
      <c r="B493" s="1" t="s">
        <v>35</v>
      </c>
      <c r="C493" s="1">
        <v>26.0</v>
      </c>
      <c r="D493" s="1" t="s">
        <v>16</v>
      </c>
      <c r="E493" s="1" t="s">
        <v>31</v>
      </c>
      <c r="F493" s="1" t="s">
        <v>18</v>
      </c>
      <c r="G493" s="1">
        <v>12.0</v>
      </c>
      <c r="H493" s="1">
        <v>64988.0</v>
      </c>
      <c r="I493" s="1" t="s">
        <v>43</v>
      </c>
      <c r="J493" s="1" t="s">
        <v>29</v>
      </c>
      <c r="K493" s="1" t="s">
        <v>26</v>
      </c>
      <c r="L493" s="1">
        <v>2.0</v>
      </c>
      <c r="M493" s="3">
        <v>41870.0</v>
      </c>
      <c r="N493" s="4">
        <f t="shared" si="1"/>
        <v>8</v>
      </c>
      <c r="O493" s="4">
        <f t="shared" si="2"/>
        <v>2014</v>
      </c>
    </row>
    <row r="494">
      <c r="A494" s="1">
        <v>493.0</v>
      </c>
      <c r="B494" s="1" t="s">
        <v>123</v>
      </c>
      <c r="C494" s="1">
        <v>44.0</v>
      </c>
      <c r="D494" s="1" t="s">
        <v>16</v>
      </c>
      <c r="E494" s="1" t="s">
        <v>28</v>
      </c>
      <c r="F494" s="1" t="s">
        <v>49</v>
      </c>
      <c r="G494" s="1">
        <v>1.0</v>
      </c>
      <c r="H494" s="1">
        <v>42084.0</v>
      </c>
      <c r="I494" s="1" t="s">
        <v>51</v>
      </c>
      <c r="J494" s="1" t="s">
        <v>20</v>
      </c>
      <c r="K494" s="1" t="s">
        <v>21</v>
      </c>
      <c r="L494" s="1">
        <v>3.0</v>
      </c>
      <c r="M494" s="3">
        <v>45711.0</v>
      </c>
      <c r="N494" s="4">
        <f t="shared" si="1"/>
        <v>2</v>
      </c>
      <c r="O494" s="4">
        <f t="shared" si="2"/>
        <v>2025</v>
      </c>
    </row>
    <row r="495">
      <c r="A495" s="1">
        <v>494.0</v>
      </c>
      <c r="B495" s="1" t="s">
        <v>22</v>
      </c>
      <c r="C495" s="1">
        <v>52.0</v>
      </c>
      <c r="D495" s="1" t="s">
        <v>16</v>
      </c>
      <c r="E495" s="1" t="s">
        <v>39</v>
      </c>
      <c r="F495" s="1" t="s">
        <v>24</v>
      </c>
      <c r="G495" s="1">
        <v>8.0</v>
      </c>
      <c r="H495" s="1">
        <v>101277.0</v>
      </c>
      <c r="I495" s="1" t="s">
        <v>51</v>
      </c>
      <c r="J495" s="1" t="s">
        <v>20</v>
      </c>
      <c r="K495" s="1" t="s">
        <v>26</v>
      </c>
      <c r="L495" s="1">
        <v>1.0</v>
      </c>
      <c r="M495" s="3">
        <v>43427.0</v>
      </c>
      <c r="N495" s="4">
        <f t="shared" si="1"/>
        <v>11</v>
      </c>
      <c r="O495" s="4">
        <f t="shared" si="2"/>
        <v>2018</v>
      </c>
    </row>
    <row r="496">
      <c r="A496" s="1">
        <v>495.0</v>
      </c>
      <c r="B496" s="1" t="s">
        <v>82</v>
      </c>
      <c r="C496" s="1">
        <v>30.0</v>
      </c>
      <c r="D496" s="1" t="s">
        <v>16</v>
      </c>
      <c r="E496" s="1" t="s">
        <v>31</v>
      </c>
      <c r="F496" s="1" t="s">
        <v>37</v>
      </c>
      <c r="G496" s="1">
        <v>14.0</v>
      </c>
      <c r="H496" s="1">
        <v>86638.0</v>
      </c>
      <c r="I496" s="1" t="s">
        <v>38</v>
      </c>
      <c r="J496" s="1" t="s">
        <v>29</v>
      </c>
      <c r="K496" s="1" t="s">
        <v>26</v>
      </c>
      <c r="L496" s="1">
        <v>2.0</v>
      </c>
      <c r="M496" s="3">
        <v>41016.0</v>
      </c>
      <c r="N496" s="4">
        <f t="shared" si="1"/>
        <v>4</v>
      </c>
      <c r="O496" s="4">
        <f t="shared" si="2"/>
        <v>2012</v>
      </c>
    </row>
    <row r="497">
      <c r="A497" s="1">
        <v>496.0</v>
      </c>
      <c r="B497" s="1" t="s">
        <v>99</v>
      </c>
      <c r="C497" s="1">
        <v>24.0</v>
      </c>
      <c r="D497" s="1" t="s">
        <v>23</v>
      </c>
      <c r="E497" s="1" t="s">
        <v>31</v>
      </c>
      <c r="F497" s="1" t="s">
        <v>18</v>
      </c>
      <c r="G497" s="1">
        <v>7.0</v>
      </c>
      <c r="H497" s="1">
        <v>114678.0</v>
      </c>
      <c r="I497" s="1" t="s">
        <v>43</v>
      </c>
      <c r="J497" s="1" t="s">
        <v>34</v>
      </c>
      <c r="K497" s="1" t="s">
        <v>21</v>
      </c>
      <c r="L497" s="1">
        <v>3.0</v>
      </c>
      <c r="M497" s="3">
        <v>43691.0</v>
      </c>
      <c r="N497" s="4">
        <f t="shared" si="1"/>
        <v>8</v>
      </c>
      <c r="O497" s="4">
        <f t="shared" si="2"/>
        <v>2019</v>
      </c>
    </row>
    <row r="498">
      <c r="A498" s="1">
        <v>497.0</v>
      </c>
      <c r="B498" s="1" t="s">
        <v>95</v>
      </c>
      <c r="C498" s="1">
        <v>24.0</v>
      </c>
      <c r="D498" s="1" t="s">
        <v>16</v>
      </c>
      <c r="E498" s="1" t="s">
        <v>28</v>
      </c>
      <c r="F498" s="1" t="s">
        <v>18</v>
      </c>
      <c r="G498" s="1">
        <v>15.0</v>
      </c>
      <c r="H498" s="1">
        <v>20143.0</v>
      </c>
      <c r="I498" s="1" t="s">
        <v>33</v>
      </c>
      <c r="J498" s="1" t="s">
        <v>34</v>
      </c>
      <c r="K498" s="1" t="s">
        <v>21</v>
      </c>
      <c r="L498" s="1">
        <v>5.0</v>
      </c>
      <c r="M498" s="3">
        <v>40770.0</v>
      </c>
      <c r="N498" s="4">
        <f t="shared" si="1"/>
        <v>8</v>
      </c>
      <c r="O498" s="4">
        <f t="shared" si="2"/>
        <v>2011</v>
      </c>
    </row>
    <row r="499">
      <c r="A499" s="1">
        <v>498.0</v>
      </c>
      <c r="B499" s="1" t="s">
        <v>91</v>
      </c>
      <c r="C499" s="1">
        <v>28.0</v>
      </c>
      <c r="D499" s="1" t="s">
        <v>23</v>
      </c>
      <c r="E499" s="1" t="s">
        <v>39</v>
      </c>
      <c r="F499" s="1" t="s">
        <v>37</v>
      </c>
      <c r="G499" s="1">
        <v>13.0</v>
      </c>
      <c r="H499" s="1">
        <v>90174.0</v>
      </c>
      <c r="I499" s="1" t="s">
        <v>19</v>
      </c>
      <c r="J499" s="1" t="s">
        <v>34</v>
      </c>
      <c r="K499" s="1" t="s">
        <v>26</v>
      </c>
      <c r="L499" s="1">
        <v>2.0</v>
      </c>
      <c r="M499" s="3">
        <v>41428.0</v>
      </c>
      <c r="N499" s="4">
        <f t="shared" si="1"/>
        <v>6</v>
      </c>
      <c r="O499" s="4">
        <f t="shared" si="2"/>
        <v>2013</v>
      </c>
    </row>
    <row r="500">
      <c r="A500" s="1">
        <v>499.0</v>
      </c>
      <c r="B500" s="1" t="s">
        <v>60</v>
      </c>
      <c r="C500" s="1">
        <v>26.0</v>
      </c>
      <c r="D500" s="1" t="s">
        <v>23</v>
      </c>
      <c r="E500" s="1" t="s">
        <v>28</v>
      </c>
      <c r="F500" s="1" t="s">
        <v>32</v>
      </c>
      <c r="G500" s="1">
        <v>8.0</v>
      </c>
      <c r="H500" s="1">
        <v>49404.0</v>
      </c>
      <c r="I500" s="1" t="s">
        <v>25</v>
      </c>
      <c r="J500" s="1" t="s">
        <v>20</v>
      </c>
      <c r="K500" s="1" t="s">
        <v>21</v>
      </c>
      <c r="L500" s="1">
        <v>2.0</v>
      </c>
      <c r="M500" s="3">
        <v>43238.0</v>
      </c>
      <c r="N500" s="4">
        <f t="shared" si="1"/>
        <v>5</v>
      </c>
      <c r="O500" s="4">
        <f t="shared" si="2"/>
        <v>2018</v>
      </c>
    </row>
    <row r="501">
      <c r="A501" s="1">
        <v>500.0</v>
      </c>
      <c r="B501" s="1" t="s">
        <v>100</v>
      </c>
      <c r="C501" s="1">
        <v>28.0</v>
      </c>
      <c r="D501" s="1" t="s">
        <v>16</v>
      </c>
      <c r="E501" s="1" t="s">
        <v>17</v>
      </c>
      <c r="F501" s="1" t="s">
        <v>49</v>
      </c>
      <c r="G501" s="1">
        <v>1.0</v>
      </c>
      <c r="H501" s="1">
        <v>51382.0</v>
      </c>
      <c r="I501" s="1" t="s">
        <v>25</v>
      </c>
      <c r="J501" s="1" t="s">
        <v>34</v>
      </c>
      <c r="K501" s="1" t="s">
        <v>21</v>
      </c>
      <c r="L501" s="1">
        <v>5.0</v>
      </c>
      <c r="M501" s="3">
        <v>45666.0</v>
      </c>
      <c r="N501" s="4">
        <f t="shared" si="1"/>
        <v>1</v>
      </c>
      <c r="O501" s="4">
        <f t="shared" si="2"/>
        <v>2025</v>
      </c>
    </row>
    <row r="502">
      <c r="M502" s="5"/>
    </row>
    <row r="503">
      <c r="M503" s="5"/>
    </row>
    <row r="504">
      <c r="M504" s="5"/>
    </row>
    <row r="505">
      <c r="M505" s="5"/>
    </row>
    <row r="506">
      <c r="M506" s="5"/>
    </row>
    <row r="507">
      <c r="M507" s="5"/>
    </row>
    <row r="508">
      <c r="M508" s="5"/>
    </row>
    <row r="509">
      <c r="M509" s="5"/>
    </row>
    <row r="510">
      <c r="M510" s="5"/>
    </row>
    <row r="511">
      <c r="M511" s="5"/>
    </row>
    <row r="512">
      <c r="M512" s="5"/>
    </row>
    <row r="513">
      <c r="M513" s="5"/>
    </row>
    <row r="514">
      <c r="M514" s="5"/>
    </row>
    <row r="515">
      <c r="M515" s="5"/>
    </row>
    <row r="516">
      <c r="M516" s="5"/>
    </row>
    <row r="517">
      <c r="M517" s="5"/>
    </row>
    <row r="518">
      <c r="M518" s="5"/>
    </row>
    <row r="519">
      <c r="M519" s="5"/>
    </row>
    <row r="520">
      <c r="M520" s="5"/>
    </row>
    <row r="521">
      <c r="M521" s="5"/>
    </row>
    <row r="522">
      <c r="M522" s="5"/>
    </row>
    <row r="523">
      <c r="M523" s="5"/>
    </row>
    <row r="524">
      <c r="M524" s="5"/>
    </row>
    <row r="525">
      <c r="M525" s="5"/>
    </row>
    <row r="526">
      <c r="M526" s="5"/>
    </row>
    <row r="527">
      <c r="M527" s="5"/>
    </row>
    <row r="528">
      <c r="M528" s="5"/>
    </row>
    <row r="529">
      <c r="M529" s="5"/>
    </row>
    <row r="530">
      <c r="M530" s="5"/>
    </row>
    <row r="531">
      <c r="M531" s="5"/>
    </row>
    <row r="532">
      <c r="M532" s="5"/>
    </row>
    <row r="533">
      <c r="M533" s="5"/>
    </row>
    <row r="534">
      <c r="M534" s="5"/>
    </row>
    <row r="535">
      <c r="M535" s="5"/>
    </row>
    <row r="536">
      <c r="M536" s="5"/>
    </row>
    <row r="537">
      <c r="M537" s="5"/>
    </row>
    <row r="538">
      <c r="M538" s="5"/>
    </row>
    <row r="539">
      <c r="M539" s="5"/>
    </row>
    <row r="540">
      <c r="M540" s="5"/>
    </row>
    <row r="541">
      <c r="M541" s="5"/>
    </row>
    <row r="542">
      <c r="M542" s="5"/>
    </row>
    <row r="543">
      <c r="M543" s="5"/>
    </row>
    <row r="544">
      <c r="M544" s="5"/>
    </row>
    <row r="545">
      <c r="M545" s="5"/>
    </row>
    <row r="546">
      <c r="M546" s="5"/>
    </row>
    <row r="547">
      <c r="M547" s="5"/>
    </row>
    <row r="548">
      <c r="M548" s="5"/>
    </row>
    <row r="549">
      <c r="M549" s="5"/>
    </row>
    <row r="550">
      <c r="M550" s="5"/>
    </row>
    <row r="551">
      <c r="M551" s="5"/>
    </row>
    <row r="552">
      <c r="M552" s="5"/>
    </row>
    <row r="553">
      <c r="M553" s="5"/>
    </row>
    <row r="554">
      <c r="M554" s="5"/>
    </row>
    <row r="555">
      <c r="M555" s="5"/>
    </row>
    <row r="556">
      <c r="M556" s="5"/>
    </row>
    <row r="557">
      <c r="M557" s="5"/>
    </row>
    <row r="558">
      <c r="M558" s="5"/>
    </row>
    <row r="559">
      <c r="M559" s="5"/>
    </row>
    <row r="560">
      <c r="M560" s="5"/>
    </row>
    <row r="561">
      <c r="M561" s="5"/>
    </row>
    <row r="562">
      <c r="M562" s="5"/>
    </row>
    <row r="563">
      <c r="M563" s="5"/>
    </row>
    <row r="564">
      <c r="M564" s="5"/>
    </row>
    <row r="565">
      <c r="M565" s="5"/>
    </row>
    <row r="566">
      <c r="M566" s="5"/>
    </row>
    <row r="567">
      <c r="M567" s="5"/>
    </row>
    <row r="568">
      <c r="M568" s="5"/>
    </row>
    <row r="569">
      <c r="M569" s="5"/>
    </row>
    <row r="570">
      <c r="M570" s="5"/>
    </row>
    <row r="571">
      <c r="M571" s="5"/>
    </row>
    <row r="572">
      <c r="M572" s="5"/>
    </row>
    <row r="573">
      <c r="M573" s="5"/>
    </row>
    <row r="574">
      <c r="M574" s="5"/>
    </row>
    <row r="575">
      <c r="M575" s="5"/>
    </row>
    <row r="576">
      <c r="M576" s="5"/>
    </row>
    <row r="577">
      <c r="M577" s="5"/>
    </row>
    <row r="578">
      <c r="M578" s="5"/>
    </row>
    <row r="579">
      <c r="M579" s="5"/>
    </row>
    <row r="580">
      <c r="M580" s="5"/>
    </row>
    <row r="581">
      <c r="M581" s="5"/>
    </row>
    <row r="582">
      <c r="M582" s="5"/>
    </row>
    <row r="583">
      <c r="M583" s="5"/>
    </row>
    <row r="584">
      <c r="M584" s="5"/>
    </row>
    <row r="585">
      <c r="M585" s="5"/>
    </row>
    <row r="586">
      <c r="M586" s="5"/>
    </row>
    <row r="587">
      <c r="M587" s="5"/>
    </row>
    <row r="588">
      <c r="M588" s="5"/>
    </row>
    <row r="589">
      <c r="M589" s="5"/>
    </row>
    <row r="590">
      <c r="M590" s="5"/>
    </row>
    <row r="591">
      <c r="M591" s="5"/>
    </row>
    <row r="592">
      <c r="M592" s="5"/>
    </row>
    <row r="593">
      <c r="M593" s="5"/>
    </row>
    <row r="594">
      <c r="M594" s="5"/>
    </row>
    <row r="595">
      <c r="M595" s="5"/>
    </row>
    <row r="596">
      <c r="M596" s="5"/>
    </row>
    <row r="597">
      <c r="M597" s="5"/>
    </row>
    <row r="598">
      <c r="M598" s="5"/>
    </row>
    <row r="599">
      <c r="M599" s="5"/>
    </row>
    <row r="600">
      <c r="M600" s="5"/>
    </row>
    <row r="601">
      <c r="M601" s="5"/>
    </row>
    <row r="602">
      <c r="M602" s="5"/>
    </row>
    <row r="603">
      <c r="M603" s="5"/>
    </row>
    <row r="604">
      <c r="M604" s="5"/>
    </row>
    <row r="605">
      <c r="M605" s="5"/>
    </row>
    <row r="606">
      <c r="M606" s="5"/>
    </row>
    <row r="607">
      <c r="M607" s="5"/>
    </row>
    <row r="608">
      <c r="M608" s="5"/>
    </row>
    <row r="609">
      <c r="M609" s="5"/>
    </row>
    <row r="610">
      <c r="M610" s="5"/>
    </row>
    <row r="611">
      <c r="M611" s="5"/>
    </row>
    <row r="612">
      <c r="M612" s="5"/>
    </row>
    <row r="613">
      <c r="M613" s="5"/>
    </row>
    <row r="614">
      <c r="M614" s="5"/>
    </row>
    <row r="615">
      <c r="M615" s="5"/>
    </row>
    <row r="616">
      <c r="M616" s="5"/>
    </row>
    <row r="617">
      <c r="M617" s="5"/>
    </row>
    <row r="618">
      <c r="M618" s="5"/>
    </row>
    <row r="619">
      <c r="M619" s="5"/>
    </row>
    <row r="620">
      <c r="M620" s="5"/>
    </row>
    <row r="621">
      <c r="M621" s="5"/>
    </row>
    <row r="622">
      <c r="M622" s="5"/>
    </row>
    <row r="623">
      <c r="M623" s="5"/>
    </row>
    <row r="624">
      <c r="M624" s="5"/>
    </row>
    <row r="625">
      <c r="M625" s="5"/>
    </row>
    <row r="626">
      <c r="M626" s="5"/>
    </row>
    <row r="627">
      <c r="M627" s="5"/>
    </row>
    <row r="628">
      <c r="M628" s="5"/>
    </row>
    <row r="629">
      <c r="M629" s="5"/>
    </row>
    <row r="630">
      <c r="M630" s="5"/>
    </row>
    <row r="631">
      <c r="M631" s="5"/>
    </row>
    <row r="632">
      <c r="M632" s="5"/>
    </row>
    <row r="633">
      <c r="M633" s="5"/>
    </row>
    <row r="634">
      <c r="M634" s="5"/>
    </row>
    <row r="635">
      <c r="M635" s="5"/>
    </row>
    <row r="636">
      <c r="M636" s="5"/>
    </row>
    <row r="637">
      <c r="M637" s="5"/>
    </row>
    <row r="638">
      <c r="M638" s="5"/>
    </row>
    <row r="639">
      <c r="M639" s="5"/>
    </row>
    <row r="640">
      <c r="M640" s="5"/>
    </row>
    <row r="641">
      <c r="M641" s="5"/>
    </row>
    <row r="642">
      <c r="M642" s="5"/>
    </row>
    <row r="643">
      <c r="M643" s="5"/>
    </row>
    <row r="644">
      <c r="M644" s="5"/>
    </row>
    <row r="645">
      <c r="M645" s="5"/>
    </row>
    <row r="646">
      <c r="M646" s="5"/>
    </row>
    <row r="647">
      <c r="M647" s="5"/>
    </row>
    <row r="648">
      <c r="M648" s="5"/>
    </row>
    <row r="649">
      <c r="M649" s="5"/>
    </row>
    <row r="650">
      <c r="M650" s="5"/>
    </row>
    <row r="651">
      <c r="M651" s="5"/>
    </row>
    <row r="652">
      <c r="M652" s="5"/>
    </row>
    <row r="653">
      <c r="M653" s="5"/>
    </row>
    <row r="654">
      <c r="M654" s="5"/>
    </row>
    <row r="655">
      <c r="M655" s="5"/>
    </row>
    <row r="656">
      <c r="M656" s="5"/>
    </row>
    <row r="657">
      <c r="M657" s="5"/>
    </row>
    <row r="658">
      <c r="M658" s="5"/>
    </row>
    <row r="659">
      <c r="M659" s="5"/>
    </row>
    <row r="660">
      <c r="M660" s="5"/>
    </row>
    <row r="661">
      <c r="M661" s="5"/>
    </row>
    <row r="662">
      <c r="M662" s="5"/>
    </row>
    <row r="663">
      <c r="M663" s="5"/>
    </row>
    <row r="664">
      <c r="M664" s="5"/>
    </row>
    <row r="665">
      <c r="M665" s="5"/>
    </row>
    <row r="666">
      <c r="M666" s="5"/>
    </row>
    <row r="667">
      <c r="M667" s="5"/>
    </row>
    <row r="668">
      <c r="M668" s="5"/>
    </row>
    <row r="669">
      <c r="M669" s="5"/>
    </row>
    <row r="670">
      <c r="M670" s="5"/>
    </row>
    <row r="671">
      <c r="M671" s="5"/>
    </row>
    <row r="672">
      <c r="M672" s="5"/>
    </row>
    <row r="673">
      <c r="M673" s="5"/>
    </row>
    <row r="674">
      <c r="M674" s="5"/>
    </row>
    <row r="675">
      <c r="M675" s="5"/>
    </row>
    <row r="676">
      <c r="M676" s="5"/>
    </row>
    <row r="677">
      <c r="M677" s="5"/>
    </row>
    <row r="678">
      <c r="M678" s="5"/>
    </row>
    <row r="679">
      <c r="M679" s="5"/>
    </row>
    <row r="680">
      <c r="M680" s="5"/>
    </row>
    <row r="681">
      <c r="M681" s="5"/>
    </row>
    <row r="682">
      <c r="M682" s="5"/>
    </row>
    <row r="683">
      <c r="M683" s="5"/>
    </row>
    <row r="684">
      <c r="M684" s="5"/>
    </row>
    <row r="685">
      <c r="M685" s="5"/>
    </row>
    <row r="686">
      <c r="M686" s="5"/>
    </row>
    <row r="687">
      <c r="M687" s="5"/>
    </row>
    <row r="688">
      <c r="M688" s="5"/>
    </row>
    <row r="689">
      <c r="M689" s="5"/>
    </row>
    <row r="690">
      <c r="M690" s="5"/>
    </row>
    <row r="691">
      <c r="M691" s="5"/>
    </row>
    <row r="692">
      <c r="M692" s="5"/>
    </row>
    <row r="693">
      <c r="M693" s="5"/>
    </row>
    <row r="694">
      <c r="M694" s="5"/>
    </row>
    <row r="695">
      <c r="M695" s="5"/>
    </row>
    <row r="696">
      <c r="M696" s="5"/>
    </row>
    <row r="697">
      <c r="M697" s="5"/>
    </row>
    <row r="698">
      <c r="M698" s="5"/>
    </row>
    <row r="699">
      <c r="M699" s="5"/>
    </row>
    <row r="700">
      <c r="M700" s="5"/>
    </row>
    <row r="701">
      <c r="M701" s="5"/>
    </row>
    <row r="702">
      <c r="M702" s="5"/>
    </row>
    <row r="703">
      <c r="M703" s="5"/>
    </row>
    <row r="704">
      <c r="M704" s="5"/>
    </row>
    <row r="705">
      <c r="M705" s="5"/>
    </row>
    <row r="706">
      <c r="M706" s="5"/>
    </row>
    <row r="707">
      <c r="M707" s="5"/>
    </row>
    <row r="708">
      <c r="M708" s="5"/>
    </row>
    <row r="709">
      <c r="M709" s="5"/>
    </row>
    <row r="710">
      <c r="M710" s="5"/>
    </row>
    <row r="711">
      <c r="M711" s="5"/>
    </row>
    <row r="712">
      <c r="M712" s="5"/>
    </row>
    <row r="713">
      <c r="M713" s="5"/>
    </row>
    <row r="714">
      <c r="M714" s="5"/>
    </row>
    <row r="715">
      <c r="M715" s="5"/>
    </row>
    <row r="716">
      <c r="M716" s="5"/>
    </row>
    <row r="717">
      <c r="M717" s="5"/>
    </row>
    <row r="718">
      <c r="M718" s="5"/>
    </row>
    <row r="719">
      <c r="M719" s="5"/>
    </row>
    <row r="720">
      <c r="M720" s="5"/>
    </row>
    <row r="721">
      <c r="M721" s="5"/>
    </row>
    <row r="722">
      <c r="M722" s="5"/>
    </row>
    <row r="723">
      <c r="M723" s="5"/>
    </row>
    <row r="724">
      <c r="M724" s="5"/>
    </row>
    <row r="725">
      <c r="M725" s="5"/>
    </row>
    <row r="726">
      <c r="M726" s="5"/>
    </row>
    <row r="727">
      <c r="M727" s="5"/>
    </row>
    <row r="728">
      <c r="M728" s="5"/>
    </row>
    <row r="729">
      <c r="M729" s="5"/>
    </row>
    <row r="730">
      <c r="M730" s="5"/>
    </row>
    <row r="731">
      <c r="M731" s="5"/>
    </row>
    <row r="732">
      <c r="M732" s="5"/>
    </row>
    <row r="733">
      <c r="M733" s="5"/>
    </row>
    <row r="734">
      <c r="M734" s="5"/>
    </row>
    <row r="735">
      <c r="M735" s="5"/>
    </row>
    <row r="736">
      <c r="M736" s="5"/>
    </row>
    <row r="737">
      <c r="M737" s="5"/>
    </row>
    <row r="738">
      <c r="M738" s="5"/>
    </row>
    <row r="739">
      <c r="M739" s="5"/>
    </row>
    <row r="740">
      <c r="M740" s="5"/>
    </row>
    <row r="741">
      <c r="M741" s="5"/>
    </row>
    <row r="742">
      <c r="M742" s="5"/>
    </row>
    <row r="743">
      <c r="M743" s="5"/>
    </row>
    <row r="744">
      <c r="M744" s="5"/>
    </row>
    <row r="745">
      <c r="M745" s="5"/>
    </row>
    <row r="746">
      <c r="M746" s="5"/>
    </row>
    <row r="747">
      <c r="M747" s="5"/>
    </row>
    <row r="748">
      <c r="M748" s="5"/>
    </row>
    <row r="749">
      <c r="M749" s="5"/>
    </row>
    <row r="750">
      <c r="M750" s="5"/>
    </row>
    <row r="751">
      <c r="M751" s="5"/>
    </row>
    <row r="752">
      <c r="M752" s="5"/>
    </row>
    <row r="753">
      <c r="M753" s="5"/>
    </row>
    <row r="754">
      <c r="M754" s="5"/>
    </row>
    <row r="755">
      <c r="M755" s="5"/>
    </row>
    <row r="756">
      <c r="M756" s="5"/>
    </row>
    <row r="757">
      <c r="M757" s="5"/>
    </row>
    <row r="758">
      <c r="M758" s="5"/>
    </row>
    <row r="759">
      <c r="M759" s="5"/>
    </row>
    <row r="760">
      <c r="M760" s="5"/>
    </row>
    <row r="761">
      <c r="M761" s="5"/>
    </row>
    <row r="762">
      <c r="M762" s="5"/>
    </row>
    <row r="763">
      <c r="M763" s="5"/>
    </row>
    <row r="764">
      <c r="M764" s="5"/>
    </row>
    <row r="765">
      <c r="M765" s="5"/>
    </row>
    <row r="766">
      <c r="M766" s="5"/>
    </row>
    <row r="767">
      <c r="M767" s="5"/>
    </row>
    <row r="768">
      <c r="M768" s="5"/>
    </row>
    <row r="769">
      <c r="M769" s="5"/>
    </row>
    <row r="770">
      <c r="M770" s="5"/>
    </row>
    <row r="771">
      <c r="M771" s="5"/>
    </row>
    <row r="772">
      <c r="M772" s="5"/>
    </row>
    <row r="773">
      <c r="M773" s="5"/>
    </row>
    <row r="774">
      <c r="M774" s="5"/>
    </row>
    <row r="775">
      <c r="M775" s="5"/>
    </row>
    <row r="776">
      <c r="M776" s="5"/>
    </row>
    <row r="777">
      <c r="M777" s="5"/>
    </row>
    <row r="778">
      <c r="M778" s="5"/>
    </row>
    <row r="779">
      <c r="M779" s="5"/>
    </row>
    <row r="780">
      <c r="M780" s="5"/>
    </row>
    <row r="781">
      <c r="M781" s="5"/>
    </row>
    <row r="782">
      <c r="M782" s="5"/>
    </row>
    <row r="783">
      <c r="M783" s="5"/>
    </row>
    <row r="784">
      <c r="M784" s="5"/>
    </row>
    <row r="785">
      <c r="M785" s="5"/>
    </row>
    <row r="786">
      <c r="M786" s="5"/>
    </row>
    <row r="787">
      <c r="M787" s="5"/>
    </row>
    <row r="788">
      <c r="M788" s="5"/>
    </row>
    <row r="789">
      <c r="M789" s="5"/>
    </row>
    <row r="790">
      <c r="M790" s="5"/>
    </row>
    <row r="791">
      <c r="M791" s="5"/>
    </row>
    <row r="792">
      <c r="M792" s="5"/>
    </row>
    <row r="793">
      <c r="M793" s="5"/>
    </row>
    <row r="794">
      <c r="M794" s="5"/>
    </row>
    <row r="795">
      <c r="M795" s="5"/>
    </row>
    <row r="796">
      <c r="M796" s="5"/>
    </row>
    <row r="797">
      <c r="M797" s="5"/>
    </row>
    <row r="798">
      <c r="M798" s="5"/>
    </row>
    <row r="799">
      <c r="M799" s="5"/>
    </row>
    <row r="800">
      <c r="M800" s="5"/>
    </row>
    <row r="801">
      <c r="M801" s="5"/>
    </row>
    <row r="802">
      <c r="M802" s="5"/>
    </row>
    <row r="803">
      <c r="M803" s="5"/>
    </row>
    <row r="804">
      <c r="M804" s="5"/>
    </row>
    <row r="805">
      <c r="M805" s="5"/>
    </row>
    <row r="806">
      <c r="M806" s="5"/>
    </row>
    <row r="807">
      <c r="M807" s="5"/>
    </row>
    <row r="808">
      <c r="M808" s="5"/>
    </row>
    <row r="809">
      <c r="M809" s="5"/>
    </row>
    <row r="810">
      <c r="M810" s="5"/>
    </row>
    <row r="811">
      <c r="M811" s="5"/>
    </row>
    <row r="812">
      <c r="M812" s="5"/>
    </row>
    <row r="813">
      <c r="M813" s="5"/>
    </row>
    <row r="814">
      <c r="M814" s="5"/>
    </row>
    <row r="815">
      <c r="M815" s="5"/>
    </row>
    <row r="816">
      <c r="M816" s="5"/>
    </row>
    <row r="817">
      <c r="M817" s="5"/>
    </row>
    <row r="818">
      <c r="M818" s="5"/>
    </row>
    <row r="819">
      <c r="M819" s="5"/>
    </row>
    <row r="820">
      <c r="M820" s="5"/>
    </row>
    <row r="821">
      <c r="M821" s="5"/>
    </row>
    <row r="822">
      <c r="M822" s="5"/>
    </row>
    <row r="823">
      <c r="M823" s="5"/>
    </row>
    <row r="824">
      <c r="M824" s="5"/>
    </row>
    <row r="825">
      <c r="M825" s="5"/>
    </row>
    <row r="826">
      <c r="M826" s="5"/>
    </row>
    <row r="827">
      <c r="M827" s="5"/>
    </row>
    <row r="828">
      <c r="M828" s="5"/>
    </row>
    <row r="829">
      <c r="M829" s="5"/>
    </row>
    <row r="830">
      <c r="M830" s="5"/>
    </row>
    <row r="831">
      <c r="M831" s="5"/>
    </row>
    <row r="832">
      <c r="M832" s="5"/>
    </row>
    <row r="833">
      <c r="M833" s="5"/>
    </row>
    <row r="834">
      <c r="M834" s="5"/>
    </row>
    <row r="835">
      <c r="M835" s="5"/>
    </row>
    <row r="836">
      <c r="M836" s="5"/>
    </row>
    <row r="837">
      <c r="M837" s="5"/>
    </row>
    <row r="838">
      <c r="M838" s="5"/>
    </row>
    <row r="839">
      <c r="M839" s="5"/>
    </row>
    <row r="840">
      <c r="M840" s="5"/>
    </row>
    <row r="841">
      <c r="M841" s="5"/>
    </row>
    <row r="842">
      <c r="M842" s="5"/>
    </row>
    <row r="843">
      <c r="M843" s="5"/>
    </row>
    <row r="844">
      <c r="M844" s="5"/>
    </row>
    <row r="845">
      <c r="M845" s="5"/>
    </row>
    <row r="846">
      <c r="M846" s="5"/>
    </row>
    <row r="847">
      <c r="M847" s="5"/>
    </row>
    <row r="848">
      <c r="M848" s="5"/>
    </row>
    <row r="849">
      <c r="M849" s="5"/>
    </row>
    <row r="850">
      <c r="M850" s="5"/>
    </row>
    <row r="851">
      <c r="M851" s="5"/>
    </row>
    <row r="852">
      <c r="M852" s="5"/>
    </row>
    <row r="853">
      <c r="M853" s="5"/>
    </row>
    <row r="854">
      <c r="M854" s="5"/>
    </row>
    <row r="855">
      <c r="M855" s="5"/>
    </row>
    <row r="856">
      <c r="M856" s="5"/>
    </row>
    <row r="857">
      <c r="M857" s="5"/>
    </row>
    <row r="858">
      <c r="M858" s="5"/>
    </row>
    <row r="859">
      <c r="M859" s="5"/>
    </row>
    <row r="860">
      <c r="M860" s="5"/>
    </row>
    <row r="861">
      <c r="M861" s="5"/>
    </row>
    <row r="862">
      <c r="M862" s="5"/>
    </row>
    <row r="863">
      <c r="M863" s="5"/>
    </row>
    <row r="864">
      <c r="M864" s="5"/>
    </row>
    <row r="865">
      <c r="M865" s="5"/>
    </row>
    <row r="866">
      <c r="M866" s="5"/>
    </row>
    <row r="867">
      <c r="M867" s="5"/>
    </row>
    <row r="868">
      <c r="M868" s="5"/>
    </row>
    <row r="869">
      <c r="M869" s="5"/>
    </row>
    <row r="870">
      <c r="M870" s="5"/>
    </row>
    <row r="871">
      <c r="M871" s="5"/>
    </row>
    <row r="872">
      <c r="M872" s="5"/>
    </row>
    <row r="873">
      <c r="M873" s="5"/>
    </row>
    <row r="874">
      <c r="M874" s="5"/>
    </row>
    <row r="875">
      <c r="M875" s="5"/>
    </row>
    <row r="876">
      <c r="M876" s="5"/>
    </row>
    <row r="877">
      <c r="M877" s="5"/>
    </row>
    <row r="878">
      <c r="M878" s="5"/>
    </row>
    <row r="879">
      <c r="M879" s="5"/>
    </row>
    <row r="880">
      <c r="M880" s="5"/>
    </row>
    <row r="881">
      <c r="M881" s="5"/>
    </row>
    <row r="882">
      <c r="M882" s="5"/>
    </row>
    <row r="883">
      <c r="M883" s="5"/>
    </row>
    <row r="884">
      <c r="M884" s="5"/>
    </row>
    <row r="885">
      <c r="M885" s="5"/>
    </row>
    <row r="886">
      <c r="M886" s="5"/>
    </row>
    <row r="887">
      <c r="M887" s="5"/>
    </row>
    <row r="888">
      <c r="M888" s="5"/>
    </row>
    <row r="889">
      <c r="M889" s="5"/>
    </row>
    <row r="890">
      <c r="M890" s="5"/>
    </row>
    <row r="891">
      <c r="M891" s="5"/>
    </row>
    <row r="892">
      <c r="M892" s="5"/>
    </row>
    <row r="893">
      <c r="M893" s="5"/>
    </row>
    <row r="894">
      <c r="M894" s="5"/>
    </row>
    <row r="895">
      <c r="M895" s="5"/>
    </row>
    <row r="896">
      <c r="M896" s="5"/>
    </row>
    <row r="897">
      <c r="M897" s="5"/>
    </row>
    <row r="898">
      <c r="M898" s="5"/>
    </row>
    <row r="899">
      <c r="M899" s="5"/>
    </row>
    <row r="900">
      <c r="M900" s="5"/>
    </row>
    <row r="901">
      <c r="M901" s="5"/>
    </row>
    <row r="902">
      <c r="M902" s="5"/>
    </row>
    <row r="903">
      <c r="M903" s="5"/>
    </row>
    <row r="904">
      <c r="M904" s="5"/>
    </row>
    <row r="905">
      <c r="M905" s="5"/>
    </row>
    <row r="906">
      <c r="M906" s="5"/>
    </row>
    <row r="907">
      <c r="M907" s="5"/>
    </row>
    <row r="908">
      <c r="M908" s="5"/>
    </row>
    <row r="909">
      <c r="M909" s="5"/>
    </row>
    <row r="910">
      <c r="M910" s="5"/>
    </row>
    <row r="911">
      <c r="M911" s="5"/>
    </row>
    <row r="912">
      <c r="M912" s="5"/>
    </row>
    <row r="913">
      <c r="M913" s="5"/>
    </row>
    <row r="914">
      <c r="M914" s="5"/>
    </row>
    <row r="915">
      <c r="M915" s="5"/>
    </row>
    <row r="916">
      <c r="M916" s="5"/>
    </row>
    <row r="917">
      <c r="M917" s="5"/>
    </row>
    <row r="918">
      <c r="M918" s="5"/>
    </row>
    <row r="919">
      <c r="M919" s="5"/>
    </row>
    <row r="920">
      <c r="M920" s="5"/>
    </row>
    <row r="921">
      <c r="M921" s="5"/>
    </row>
    <row r="922">
      <c r="M922" s="5"/>
    </row>
    <row r="923">
      <c r="M923" s="5"/>
    </row>
    <row r="924">
      <c r="M924" s="5"/>
    </row>
    <row r="925">
      <c r="M925" s="5"/>
    </row>
    <row r="926">
      <c r="M926" s="5"/>
    </row>
    <row r="927">
      <c r="M927" s="5"/>
    </row>
    <row r="928">
      <c r="M928" s="5"/>
    </row>
    <row r="929">
      <c r="M929" s="5"/>
    </row>
    <row r="930">
      <c r="M930" s="5"/>
    </row>
    <row r="931">
      <c r="M931" s="5"/>
    </row>
    <row r="932">
      <c r="M932" s="5"/>
    </row>
    <row r="933">
      <c r="M933" s="5"/>
    </row>
    <row r="934">
      <c r="M934" s="5"/>
    </row>
    <row r="935">
      <c r="M935" s="5"/>
    </row>
    <row r="936">
      <c r="M936" s="5"/>
    </row>
    <row r="937">
      <c r="M937" s="5"/>
    </row>
    <row r="938">
      <c r="M938" s="5"/>
    </row>
    <row r="939">
      <c r="M939" s="5"/>
    </row>
    <row r="940">
      <c r="M940" s="5"/>
    </row>
    <row r="941">
      <c r="M941" s="5"/>
    </row>
    <row r="942">
      <c r="M942" s="5"/>
    </row>
    <row r="943">
      <c r="M943" s="5"/>
    </row>
    <row r="944">
      <c r="M944" s="5"/>
    </row>
    <row r="945">
      <c r="M945" s="5"/>
    </row>
    <row r="946">
      <c r="M946" s="5"/>
    </row>
    <row r="947">
      <c r="M947" s="5"/>
    </row>
    <row r="948">
      <c r="M948" s="5"/>
    </row>
    <row r="949">
      <c r="M949" s="5"/>
    </row>
    <row r="950">
      <c r="M950" s="5"/>
    </row>
    <row r="951">
      <c r="M951" s="5"/>
    </row>
    <row r="952">
      <c r="M952" s="5"/>
    </row>
    <row r="953">
      <c r="M953" s="5"/>
    </row>
    <row r="954">
      <c r="M954" s="5"/>
    </row>
    <row r="955">
      <c r="M955" s="5"/>
    </row>
    <row r="956">
      <c r="M956" s="5"/>
    </row>
    <row r="957">
      <c r="M957" s="5"/>
    </row>
    <row r="958">
      <c r="M958" s="5"/>
    </row>
    <row r="959">
      <c r="M959" s="5"/>
    </row>
    <row r="960">
      <c r="M960" s="5"/>
    </row>
    <row r="961">
      <c r="M961" s="5"/>
    </row>
    <row r="962">
      <c r="M962" s="5"/>
    </row>
    <row r="963">
      <c r="M963" s="5"/>
    </row>
    <row r="964">
      <c r="M964" s="5"/>
    </row>
    <row r="965">
      <c r="M965" s="5"/>
    </row>
    <row r="966">
      <c r="M966" s="5"/>
    </row>
    <row r="967">
      <c r="M967" s="5"/>
    </row>
    <row r="968">
      <c r="M968" s="5"/>
    </row>
    <row r="969">
      <c r="M969" s="5"/>
    </row>
    <row r="970">
      <c r="M970" s="5"/>
    </row>
    <row r="971">
      <c r="M971" s="5"/>
    </row>
    <row r="972">
      <c r="M972" s="5"/>
    </row>
    <row r="973">
      <c r="M973" s="5"/>
    </row>
    <row r="974">
      <c r="M974" s="5"/>
    </row>
    <row r="975">
      <c r="M975" s="5"/>
    </row>
    <row r="976">
      <c r="M976" s="5"/>
    </row>
    <row r="977">
      <c r="M977" s="5"/>
    </row>
    <row r="978">
      <c r="M978" s="5"/>
    </row>
    <row r="979">
      <c r="M979" s="5"/>
    </row>
    <row r="980">
      <c r="M980" s="5"/>
    </row>
    <row r="981">
      <c r="M981" s="5"/>
    </row>
    <row r="982">
      <c r="M982" s="5"/>
    </row>
    <row r="983">
      <c r="M983" s="5"/>
    </row>
    <row r="984">
      <c r="M984" s="5"/>
    </row>
    <row r="985">
      <c r="M985" s="5"/>
    </row>
    <row r="986">
      <c r="M986" s="5"/>
    </row>
    <row r="987">
      <c r="M987" s="5"/>
    </row>
    <row r="988">
      <c r="M988" s="5"/>
    </row>
    <row r="989">
      <c r="M989" s="5"/>
    </row>
    <row r="990">
      <c r="M990" s="5"/>
    </row>
    <row r="991">
      <c r="M991" s="5"/>
    </row>
    <row r="992">
      <c r="M992" s="5"/>
    </row>
    <row r="993">
      <c r="M993" s="5"/>
    </row>
    <row r="994">
      <c r="M994" s="5"/>
    </row>
    <row r="995">
      <c r="M995" s="5"/>
    </row>
    <row r="996">
      <c r="M996" s="5"/>
    </row>
    <row r="997">
      <c r="M997" s="5"/>
    </row>
    <row r="998">
      <c r="M998" s="5"/>
    </row>
    <row r="999">
      <c r="M999" s="5"/>
    </row>
    <row r="1000">
      <c r="M1000" s="5"/>
    </row>
  </sheetData>
  <customSheetViews>
    <customSheetView guid="{3B717D27-9F4F-4753-8CC6-37024164C384}" filter="1" showAutoFilter="1">
      <autoFilter ref="$A$1:$O$501"/>
    </customSheetView>
    <customSheetView guid="{3B717D27-9F4F-4753-8CC6-37024164C384}" filter="1" showAutoFilter="1">
      <autoFilter ref="$A$1:$O$501"/>
    </customSheetView>
    <customSheetView guid="{3B717D27-9F4F-4753-8CC6-37024164C384}" filter="1" showAutoFilter="1">
      <autoFilter ref="$A$1:$O$501"/>
    </customSheetView>
  </customSheetViews>
  <drawing r:id="rId1"/>
  <tableParts count="1">
    <tablePart r:id="rId3"/>
  </tableParts>
  <extLst>
    <ext uri="{3A4CF648-6AED-40f4-86FF-DC5316D8AED3}">
      <x14:slicerList>
        <x14:slicer r:id="rId4"/>
      </x14:slicerList>
    </ext>
  </extLst>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v>
      </c>
      <c r="B1" s="5" t="s">
        <v>11</v>
      </c>
    </row>
    <row r="2">
      <c r="A2" s="5" t="s">
        <v>15</v>
      </c>
      <c r="B2" s="6">
        <v>2.0</v>
      </c>
    </row>
    <row r="3">
      <c r="A3" s="5" t="s">
        <v>22</v>
      </c>
      <c r="B3" s="6">
        <v>2.0</v>
      </c>
    </row>
    <row r="4">
      <c r="A4" s="5" t="s">
        <v>27</v>
      </c>
      <c r="B4" s="6">
        <v>2.0</v>
      </c>
      <c r="E4" s="4" t="str">
        <f t="array" ref="E4:H8">SORT(A2:D100, 4, FALSE)</f>
        <v>Shaurya Patel</v>
      </c>
      <c r="F4" s="4">
        <v>2.0</v>
      </c>
      <c r="G4" s="4"/>
      <c r="H4" s="4"/>
    </row>
    <row r="5">
      <c r="A5" s="5" t="s">
        <v>30</v>
      </c>
      <c r="B5" s="6">
        <v>1.0</v>
      </c>
      <c r="E5" s="4" t="s">
        <v>22</v>
      </c>
      <c r="F5" s="4">
        <v>2.0</v>
      </c>
      <c r="G5" s="4"/>
      <c r="H5" s="4"/>
    </row>
    <row r="6">
      <c r="A6" s="5" t="s">
        <v>35</v>
      </c>
      <c r="B6" s="6">
        <v>2.0</v>
      </c>
      <c r="E6" s="4" t="s">
        <v>27</v>
      </c>
      <c r="F6" s="4">
        <v>2.0</v>
      </c>
      <c r="G6" s="4"/>
      <c r="H6" s="4"/>
    </row>
    <row r="7">
      <c r="A7" s="5" t="s">
        <v>15</v>
      </c>
      <c r="B7" s="6">
        <v>4.0</v>
      </c>
      <c r="E7" s="4" t="s">
        <v>30</v>
      </c>
      <c r="F7" s="4">
        <v>1.0</v>
      </c>
      <c r="G7" s="4"/>
      <c r="H7" s="4"/>
      <c r="K7" s="4" t="str">
        <f t="array" ref="K7:N11">SORT(A2:D100, 4, TRUE)</f>
        <v>Shaurya Patel</v>
      </c>
      <c r="L7" s="4">
        <v>2.0</v>
      </c>
      <c r="M7" s="4"/>
      <c r="N7" s="4"/>
    </row>
    <row r="8">
      <c r="A8" s="5" t="s">
        <v>40</v>
      </c>
      <c r="B8" s="6">
        <v>1.0</v>
      </c>
      <c r="E8" s="4" t="s">
        <v>35</v>
      </c>
      <c r="F8" s="4">
        <v>2.0</v>
      </c>
      <c r="G8" s="4"/>
      <c r="H8" s="4"/>
      <c r="K8" s="4" t="s">
        <v>22</v>
      </c>
      <c r="L8" s="4">
        <v>2.0</v>
      </c>
      <c r="M8" s="4"/>
      <c r="N8" s="4"/>
    </row>
    <row r="9">
      <c r="A9" s="5" t="s">
        <v>41</v>
      </c>
      <c r="B9" s="6">
        <v>3.0</v>
      </c>
      <c r="K9" s="4" t="s">
        <v>27</v>
      </c>
      <c r="L9" s="4">
        <v>2.0</v>
      </c>
      <c r="M9" s="4"/>
      <c r="N9" s="4"/>
    </row>
    <row r="10">
      <c r="A10" s="5" t="s">
        <v>27</v>
      </c>
      <c r="B10" s="6">
        <v>5.0</v>
      </c>
      <c r="K10" s="4" t="s">
        <v>30</v>
      </c>
      <c r="L10" s="4">
        <v>1.0</v>
      </c>
      <c r="M10" s="4"/>
      <c r="N10" s="4"/>
    </row>
    <row r="11">
      <c r="A11" s="5" t="s">
        <v>44</v>
      </c>
      <c r="B11" s="6">
        <v>1.0</v>
      </c>
      <c r="K11" s="4" t="s">
        <v>35</v>
      </c>
      <c r="L11" s="4">
        <v>2.0</v>
      </c>
      <c r="M11" s="4"/>
      <c r="N11" s="4"/>
    </row>
    <row r="12">
      <c r="A12" s="5" t="s">
        <v>45</v>
      </c>
      <c r="B12" s="6">
        <v>3.0</v>
      </c>
    </row>
    <row r="13">
      <c r="A13" s="5" t="s">
        <v>46</v>
      </c>
      <c r="B13" s="6">
        <v>3.0</v>
      </c>
    </row>
    <row r="14">
      <c r="A14" s="5" t="s">
        <v>47</v>
      </c>
      <c r="B14" s="6">
        <v>1.0</v>
      </c>
    </row>
    <row r="15">
      <c r="A15" s="5" t="s">
        <v>48</v>
      </c>
      <c r="B15" s="6">
        <v>3.0</v>
      </c>
    </row>
    <row r="16">
      <c r="A16" s="5" t="s">
        <v>50</v>
      </c>
      <c r="B16" s="6">
        <v>1.0</v>
      </c>
    </row>
    <row r="17">
      <c r="A17" s="5" t="s">
        <v>52</v>
      </c>
      <c r="B17" s="6">
        <v>5.0</v>
      </c>
    </row>
    <row r="18">
      <c r="A18" s="5" t="s">
        <v>53</v>
      </c>
      <c r="B18" s="6">
        <v>2.0</v>
      </c>
    </row>
    <row r="19">
      <c r="A19" s="5" t="s">
        <v>54</v>
      </c>
      <c r="B19" s="6">
        <v>2.0</v>
      </c>
    </row>
    <row r="20">
      <c r="A20" s="5" t="s">
        <v>47</v>
      </c>
      <c r="B20" s="6">
        <v>2.0</v>
      </c>
    </row>
    <row r="21">
      <c r="A21" s="5" t="s">
        <v>55</v>
      </c>
      <c r="B21" s="6">
        <v>2.0</v>
      </c>
    </row>
    <row r="22">
      <c r="A22" s="5" t="s">
        <v>56</v>
      </c>
      <c r="B22" s="6">
        <v>4.0</v>
      </c>
    </row>
    <row r="23">
      <c r="A23" s="5" t="s">
        <v>57</v>
      </c>
      <c r="B23" s="6">
        <v>3.0</v>
      </c>
    </row>
    <row r="24">
      <c r="A24" s="5" t="s">
        <v>58</v>
      </c>
      <c r="B24" s="6">
        <v>5.0</v>
      </c>
    </row>
    <row r="25">
      <c r="A25" s="5" t="s">
        <v>59</v>
      </c>
      <c r="B25" s="6">
        <v>3.0</v>
      </c>
    </row>
    <row r="26">
      <c r="A26" s="5" t="s">
        <v>60</v>
      </c>
      <c r="B26" s="6">
        <v>2.0</v>
      </c>
    </row>
    <row r="27">
      <c r="A27" s="5" t="s">
        <v>61</v>
      </c>
      <c r="B27" s="6">
        <v>4.0</v>
      </c>
    </row>
    <row r="28">
      <c r="A28" s="5" t="s">
        <v>27</v>
      </c>
      <c r="B28" s="6">
        <v>3.0</v>
      </c>
    </row>
    <row r="29">
      <c r="A29" s="5" t="s">
        <v>62</v>
      </c>
      <c r="B29" s="6">
        <v>3.0</v>
      </c>
    </row>
    <row r="30">
      <c r="A30" s="5" t="s">
        <v>63</v>
      </c>
      <c r="B30" s="6">
        <v>1.0</v>
      </c>
    </row>
    <row r="31">
      <c r="A31" s="5" t="s">
        <v>64</v>
      </c>
      <c r="B31" s="6">
        <v>1.0</v>
      </c>
    </row>
    <row r="32">
      <c r="A32" s="5" t="s">
        <v>30</v>
      </c>
      <c r="B32" s="6">
        <v>2.0</v>
      </c>
    </row>
    <row r="33">
      <c r="A33" s="5" t="s">
        <v>65</v>
      </c>
      <c r="B33" s="6">
        <v>3.0</v>
      </c>
    </row>
    <row r="34">
      <c r="A34" s="5" t="s">
        <v>27</v>
      </c>
      <c r="B34" s="6">
        <v>3.0</v>
      </c>
    </row>
    <row r="35">
      <c r="A35" s="5" t="s">
        <v>46</v>
      </c>
      <c r="B35" s="6">
        <v>5.0</v>
      </c>
    </row>
    <row r="36">
      <c r="A36" s="5" t="s">
        <v>66</v>
      </c>
      <c r="B36" s="6">
        <v>4.0</v>
      </c>
    </row>
    <row r="37">
      <c r="A37" s="5" t="s">
        <v>67</v>
      </c>
      <c r="B37" s="6">
        <v>2.0</v>
      </c>
    </row>
    <row r="38">
      <c r="A38" s="5" t="s">
        <v>68</v>
      </c>
      <c r="B38" s="6">
        <v>1.0</v>
      </c>
    </row>
    <row r="39">
      <c r="A39" s="5" t="s">
        <v>69</v>
      </c>
      <c r="B39" s="6">
        <v>5.0</v>
      </c>
    </row>
    <row r="40">
      <c r="A40" s="5" t="s">
        <v>30</v>
      </c>
      <c r="B40" s="6">
        <v>1.0</v>
      </c>
    </row>
    <row r="41">
      <c r="A41" s="5" t="s">
        <v>70</v>
      </c>
      <c r="B41" s="6">
        <v>2.0</v>
      </c>
    </row>
    <row r="42">
      <c r="A42" s="5" t="s">
        <v>71</v>
      </c>
      <c r="B42" s="6">
        <v>1.0</v>
      </c>
    </row>
    <row r="43">
      <c r="A43" s="5" t="s">
        <v>72</v>
      </c>
      <c r="B43" s="6">
        <v>4.0</v>
      </c>
    </row>
    <row r="44">
      <c r="A44" s="5" t="s">
        <v>73</v>
      </c>
      <c r="B44" s="6">
        <v>1.0</v>
      </c>
    </row>
    <row r="45">
      <c r="A45" s="5" t="s">
        <v>74</v>
      </c>
      <c r="B45" s="6">
        <v>3.0</v>
      </c>
    </row>
    <row r="46">
      <c r="A46" s="5" t="s">
        <v>75</v>
      </c>
      <c r="B46" s="6">
        <v>3.0</v>
      </c>
    </row>
    <row r="47">
      <c r="A47" s="5" t="s">
        <v>76</v>
      </c>
      <c r="B47" s="6">
        <v>4.0</v>
      </c>
    </row>
    <row r="48">
      <c r="A48" s="5" t="s">
        <v>66</v>
      </c>
      <c r="B48" s="6">
        <v>2.0</v>
      </c>
    </row>
    <row r="49">
      <c r="A49" s="5" t="s">
        <v>77</v>
      </c>
      <c r="B49" s="6">
        <v>3.0</v>
      </c>
    </row>
    <row r="50">
      <c r="A50" s="5" t="s">
        <v>78</v>
      </c>
      <c r="B50" s="6">
        <v>5.0</v>
      </c>
    </row>
    <row r="51">
      <c r="A51" s="5" t="s">
        <v>27</v>
      </c>
      <c r="B51" s="6">
        <v>1.0</v>
      </c>
    </row>
    <row r="52">
      <c r="A52" s="5" t="s">
        <v>55</v>
      </c>
      <c r="B52" s="6">
        <v>4.0</v>
      </c>
    </row>
    <row r="53">
      <c r="A53" s="5" t="s">
        <v>79</v>
      </c>
      <c r="B53" s="6">
        <v>5.0</v>
      </c>
    </row>
    <row r="54">
      <c r="A54" s="5" t="s">
        <v>80</v>
      </c>
      <c r="B54" s="6">
        <v>4.0</v>
      </c>
    </row>
    <row r="55">
      <c r="A55" s="5" t="s">
        <v>15</v>
      </c>
      <c r="B55" s="6">
        <v>3.0</v>
      </c>
    </row>
    <row r="56">
      <c r="A56" s="5" t="s">
        <v>81</v>
      </c>
      <c r="B56" s="6">
        <v>1.0</v>
      </c>
    </row>
    <row r="57">
      <c r="A57" s="5" t="s">
        <v>75</v>
      </c>
      <c r="B57" s="6">
        <v>4.0</v>
      </c>
    </row>
    <row r="58">
      <c r="A58" s="5" t="s">
        <v>82</v>
      </c>
      <c r="B58" s="6">
        <v>2.0</v>
      </c>
    </row>
    <row r="59">
      <c r="A59" s="5" t="s">
        <v>83</v>
      </c>
      <c r="B59" s="6">
        <v>3.0</v>
      </c>
    </row>
    <row r="60">
      <c r="A60" s="5" t="s">
        <v>84</v>
      </c>
      <c r="B60" s="6">
        <v>3.0</v>
      </c>
    </row>
    <row r="61">
      <c r="A61" s="5" t="s">
        <v>41</v>
      </c>
      <c r="B61" s="6">
        <v>3.0</v>
      </c>
    </row>
    <row r="62">
      <c r="A62" s="5" t="s">
        <v>85</v>
      </c>
      <c r="B62" s="6">
        <v>2.0</v>
      </c>
    </row>
    <row r="63">
      <c r="A63" s="5" t="s">
        <v>86</v>
      </c>
      <c r="B63" s="6">
        <v>1.0</v>
      </c>
    </row>
    <row r="64">
      <c r="A64" s="5" t="s">
        <v>59</v>
      </c>
      <c r="B64" s="6">
        <v>1.0</v>
      </c>
    </row>
    <row r="65">
      <c r="A65" s="5" t="s">
        <v>40</v>
      </c>
      <c r="B65" s="6">
        <v>3.0</v>
      </c>
    </row>
    <row r="66">
      <c r="A66" s="5" t="s">
        <v>87</v>
      </c>
      <c r="B66" s="6">
        <v>2.0</v>
      </c>
    </row>
    <row r="67">
      <c r="A67" s="5" t="s">
        <v>80</v>
      </c>
      <c r="B67" s="6">
        <v>5.0</v>
      </c>
    </row>
    <row r="68">
      <c r="A68" s="5" t="s">
        <v>88</v>
      </c>
      <c r="B68" s="6">
        <v>2.0</v>
      </c>
    </row>
    <row r="69">
      <c r="A69" s="5" t="s">
        <v>46</v>
      </c>
      <c r="B69" s="6">
        <v>5.0</v>
      </c>
    </row>
    <row r="70">
      <c r="A70" s="5" t="s">
        <v>89</v>
      </c>
      <c r="B70" s="6">
        <v>3.0</v>
      </c>
    </row>
    <row r="71">
      <c r="A71" s="5" t="s">
        <v>82</v>
      </c>
      <c r="B71" s="6">
        <v>3.0</v>
      </c>
    </row>
    <row r="72">
      <c r="A72" s="5" t="s">
        <v>54</v>
      </c>
      <c r="B72" s="6">
        <v>1.0</v>
      </c>
    </row>
    <row r="73">
      <c r="A73" s="5" t="s">
        <v>90</v>
      </c>
      <c r="B73" s="6">
        <v>5.0</v>
      </c>
    </row>
    <row r="74">
      <c r="A74" s="5" t="s">
        <v>63</v>
      </c>
      <c r="B74" s="6">
        <v>3.0</v>
      </c>
    </row>
    <row r="75">
      <c r="A75" s="5" t="s">
        <v>66</v>
      </c>
      <c r="B75" s="6">
        <v>3.0</v>
      </c>
    </row>
    <row r="76">
      <c r="A76" s="5" t="s">
        <v>40</v>
      </c>
      <c r="B76" s="6">
        <v>4.0</v>
      </c>
    </row>
    <row r="77">
      <c r="A77" s="5" t="s">
        <v>88</v>
      </c>
      <c r="B77" s="6">
        <v>5.0</v>
      </c>
    </row>
    <row r="78">
      <c r="A78" s="5" t="s">
        <v>91</v>
      </c>
      <c r="B78" s="6">
        <v>4.0</v>
      </c>
    </row>
    <row r="79">
      <c r="A79" s="5" t="s">
        <v>92</v>
      </c>
      <c r="B79" s="6">
        <v>1.0</v>
      </c>
    </row>
    <row r="80">
      <c r="A80" s="5" t="s">
        <v>93</v>
      </c>
      <c r="B80" s="6">
        <v>2.0</v>
      </c>
    </row>
    <row r="81">
      <c r="A81" s="5" t="s">
        <v>94</v>
      </c>
      <c r="B81" s="6">
        <v>4.0</v>
      </c>
    </row>
    <row r="82">
      <c r="A82" s="5" t="s">
        <v>95</v>
      </c>
      <c r="B82" s="6">
        <v>4.0</v>
      </c>
    </row>
    <row r="83">
      <c r="A83" s="5" t="s">
        <v>72</v>
      </c>
      <c r="B83" s="6">
        <v>5.0</v>
      </c>
    </row>
    <row r="84">
      <c r="A84" s="5" t="s">
        <v>68</v>
      </c>
      <c r="B84" s="6">
        <v>2.0</v>
      </c>
    </row>
    <row r="85">
      <c r="A85" s="5" t="s">
        <v>86</v>
      </c>
      <c r="B85" s="6">
        <v>3.0</v>
      </c>
    </row>
    <row r="86">
      <c r="A86" s="5" t="s">
        <v>60</v>
      </c>
      <c r="B86" s="6">
        <v>5.0</v>
      </c>
    </row>
    <row r="87">
      <c r="A87" s="5" t="s">
        <v>41</v>
      </c>
      <c r="B87" s="6">
        <v>4.0</v>
      </c>
    </row>
    <row r="88">
      <c r="A88" s="5" t="s">
        <v>96</v>
      </c>
      <c r="B88" s="6">
        <v>2.0</v>
      </c>
    </row>
    <row r="89">
      <c r="A89" s="5" t="s">
        <v>75</v>
      </c>
      <c r="B89" s="6">
        <v>1.0</v>
      </c>
    </row>
    <row r="90">
      <c r="A90" s="5" t="s">
        <v>97</v>
      </c>
      <c r="B90" s="6">
        <v>4.0</v>
      </c>
    </row>
    <row r="91">
      <c r="A91" s="5" t="s">
        <v>60</v>
      </c>
      <c r="B91" s="6">
        <v>3.0</v>
      </c>
    </row>
    <row r="92">
      <c r="A92" s="5" t="s">
        <v>98</v>
      </c>
      <c r="B92" s="6">
        <v>4.0</v>
      </c>
    </row>
    <row r="93">
      <c r="A93" s="5" t="s">
        <v>94</v>
      </c>
      <c r="B93" s="6">
        <v>2.0</v>
      </c>
    </row>
    <row r="94">
      <c r="A94" s="5" t="s">
        <v>65</v>
      </c>
      <c r="B94" s="6">
        <v>2.0</v>
      </c>
    </row>
    <row r="95">
      <c r="A95" s="5" t="s">
        <v>48</v>
      </c>
      <c r="B95" s="6">
        <v>1.0</v>
      </c>
    </row>
    <row r="96">
      <c r="A96" s="5" t="s">
        <v>99</v>
      </c>
      <c r="B96" s="6">
        <v>2.0</v>
      </c>
    </row>
    <row r="97">
      <c r="A97" s="5" t="s">
        <v>99</v>
      </c>
      <c r="B97" s="6">
        <v>1.0</v>
      </c>
    </row>
    <row r="98">
      <c r="A98" s="5" t="s">
        <v>78</v>
      </c>
      <c r="B98" s="6">
        <v>1.0</v>
      </c>
    </row>
    <row r="99">
      <c r="A99" s="5" t="s">
        <v>22</v>
      </c>
      <c r="B99" s="6">
        <v>5.0</v>
      </c>
    </row>
    <row r="100">
      <c r="A100" s="5" t="s">
        <v>100</v>
      </c>
      <c r="B100" s="6">
        <v>2.0</v>
      </c>
    </row>
    <row r="101">
      <c r="A101" s="5" t="s">
        <v>45</v>
      </c>
      <c r="B101" s="6">
        <v>2.0</v>
      </c>
    </row>
    <row r="102">
      <c r="A102" s="5" t="s">
        <v>41</v>
      </c>
      <c r="B102" s="6">
        <v>3.0</v>
      </c>
    </row>
    <row r="103">
      <c r="A103" s="5" t="s">
        <v>101</v>
      </c>
      <c r="B103" s="6">
        <v>3.0</v>
      </c>
    </row>
    <row r="104">
      <c r="A104" s="5" t="s">
        <v>102</v>
      </c>
      <c r="B104" s="6">
        <v>4.0</v>
      </c>
    </row>
    <row r="105">
      <c r="A105" s="5" t="s">
        <v>64</v>
      </c>
      <c r="B105" s="6">
        <v>3.0</v>
      </c>
    </row>
    <row r="106">
      <c r="A106" s="5" t="s">
        <v>103</v>
      </c>
      <c r="B106" s="6">
        <v>2.0</v>
      </c>
    </row>
    <row r="107">
      <c r="A107" s="5" t="s">
        <v>63</v>
      </c>
      <c r="B107" s="6">
        <v>5.0</v>
      </c>
    </row>
    <row r="108">
      <c r="A108" s="5" t="s">
        <v>69</v>
      </c>
      <c r="B108" s="6">
        <v>4.0</v>
      </c>
    </row>
    <row r="109">
      <c r="A109" s="5" t="s">
        <v>104</v>
      </c>
      <c r="B109" s="6">
        <v>1.0</v>
      </c>
    </row>
    <row r="110">
      <c r="A110" s="5" t="s">
        <v>77</v>
      </c>
      <c r="B110" s="6">
        <v>4.0</v>
      </c>
    </row>
    <row r="111">
      <c r="A111" s="5" t="s">
        <v>69</v>
      </c>
      <c r="B111" s="6">
        <v>2.0</v>
      </c>
    </row>
    <row r="112">
      <c r="A112" s="5" t="s">
        <v>98</v>
      </c>
      <c r="B112" s="6">
        <v>3.0</v>
      </c>
    </row>
    <row r="113">
      <c r="A113" s="5" t="s">
        <v>105</v>
      </c>
      <c r="B113" s="6">
        <v>4.0</v>
      </c>
    </row>
    <row r="114">
      <c r="A114" s="5" t="s">
        <v>106</v>
      </c>
      <c r="B114" s="6">
        <v>3.0</v>
      </c>
    </row>
    <row r="115">
      <c r="A115" s="5" t="s">
        <v>47</v>
      </c>
      <c r="B115" s="6">
        <v>1.0</v>
      </c>
    </row>
    <row r="116">
      <c r="A116" s="5" t="s">
        <v>103</v>
      </c>
      <c r="B116" s="6">
        <v>5.0</v>
      </c>
    </row>
    <row r="117">
      <c r="A117" s="5" t="s">
        <v>106</v>
      </c>
      <c r="B117" s="6">
        <v>3.0</v>
      </c>
    </row>
    <row r="118">
      <c r="A118" s="5" t="s">
        <v>94</v>
      </c>
      <c r="B118" s="6">
        <v>2.0</v>
      </c>
    </row>
    <row r="119">
      <c r="A119" s="5" t="s">
        <v>107</v>
      </c>
      <c r="B119" s="6">
        <v>1.0</v>
      </c>
    </row>
    <row r="120">
      <c r="A120" s="5" t="s">
        <v>50</v>
      </c>
      <c r="B120" s="6">
        <v>5.0</v>
      </c>
    </row>
    <row r="121">
      <c r="A121" s="5" t="s">
        <v>95</v>
      </c>
      <c r="B121" s="6">
        <v>4.0</v>
      </c>
    </row>
    <row r="122">
      <c r="A122" s="5" t="s">
        <v>108</v>
      </c>
      <c r="B122" s="6">
        <v>1.0</v>
      </c>
    </row>
    <row r="123">
      <c r="A123" s="5" t="s">
        <v>109</v>
      </c>
      <c r="B123" s="6">
        <v>5.0</v>
      </c>
    </row>
    <row r="124">
      <c r="A124" s="5" t="s">
        <v>110</v>
      </c>
      <c r="B124" s="6">
        <v>4.0</v>
      </c>
    </row>
    <row r="125">
      <c r="A125" s="5" t="s">
        <v>87</v>
      </c>
      <c r="B125" s="6">
        <v>5.0</v>
      </c>
    </row>
    <row r="126">
      <c r="A126" s="5" t="s">
        <v>105</v>
      </c>
      <c r="B126" s="6">
        <v>2.0</v>
      </c>
    </row>
    <row r="127">
      <c r="A127" s="5" t="s">
        <v>58</v>
      </c>
      <c r="B127" s="6">
        <v>2.0</v>
      </c>
    </row>
    <row r="128">
      <c r="A128" s="5" t="s">
        <v>56</v>
      </c>
      <c r="B128" s="6">
        <v>1.0</v>
      </c>
    </row>
    <row r="129">
      <c r="A129" s="5" t="s">
        <v>72</v>
      </c>
      <c r="B129" s="6">
        <v>1.0</v>
      </c>
    </row>
    <row r="130">
      <c r="A130" s="5" t="s">
        <v>40</v>
      </c>
      <c r="B130" s="6">
        <v>5.0</v>
      </c>
    </row>
    <row r="131">
      <c r="A131" s="5" t="s">
        <v>82</v>
      </c>
      <c r="B131" s="6">
        <v>3.0</v>
      </c>
    </row>
    <row r="132">
      <c r="A132" s="5" t="s">
        <v>107</v>
      </c>
      <c r="B132" s="6">
        <v>1.0</v>
      </c>
    </row>
    <row r="133">
      <c r="A133" s="5" t="s">
        <v>111</v>
      </c>
      <c r="B133" s="6">
        <v>5.0</v>
      </c>
    </row>
    <row r="134">
      <c r="A134" s="5" t="s">
        <v>77</v>
      </c>
      <c r="B134" s="6">
        <v>4.0</v>
      </c>
    </row>
    <row r="135">
      <c r="A135" s="5" t="s">
        <v>104</v>
      </c>
      <c r="B135" s="6">
        <v>3.0</v>
      </c>
    </row>
    <row r="136">
      <c r="A136" s="5" t="s">
        <v>112</v>
      </c>
      <c r="B136" s="6">
        <v>4.0</v>
      </c>
    </row>
    <row r="137">
      <c r="A137" s="5" t="s">
        <v>79</v>
      </c>
      <c r="B137" s="6">
        <v>2.0</v>
      </c>
    </row>
    <row r="138">
      <c r="A138" s="5" t="s">
        <v>52</v>
      </c>
      <c r="B138" s="6">
        <v>3.0</v>
      </c>
    </row>
    <row r="139">
      <c r="A139" s="5" t="s">
        <v>54</v>
      </c>
      <c r="B139" s="6">
        <v>4.0</v>
      </c>
    </row>
    <row r="140">
      <c r="A140" s="5" t="s">
        <v>55</v>
      </c>
      <c r="B140" s="6">
        <v>1.0</v>
      </c>
    </row>
    <row r="141">
      <c r="A141" s="5" t="s">
        <v>77</v>
      </c>
      <c r="B141" s="6">
        <v>4.0</v>
      </c>
    </row>
    <row r="142">
      <c r="A142" s="5" t="s">
        <v>86</v>
      </c>
      <c r="B142" s="6">
        <v>2.0</v>
      </c>
    </row>
    <row r="143">
      <c r="A143" s="5" t="s">
        <v>79</v>
      </c>
      <c r="B143" s="6">
        <v>5.0</v>
      </c>
    </row>
    <row r="144">
      <c r="A144" s="5" t="s">
        <v>66</v>
      </c>
      <c r="B144" s="6">
        <v>3.0</v>
      </c>
    </row>
    <row r="145">
      <c r="A145" s="5" t="s">
        <v>52</v>
      </c>
      <c r="B145" s="6">
        <v>5.0</v>
      </c>
    </row>
    <row r="146">
      <c r="A146" s="5" t="s">
        <v>100</v>
      </c>
      <c r="B146" s="6">
        <v>1.0</v>
      </c>
    </row>
    <row r="147">
      <c r="A147" s="5" t="s">
        <v>95</v>
      </c>
      <c r="B147" s="6">
        <v>3.0</v>
      </c>
    </row>
    <row r="148">
      <c r="A148" s="5" t="s">
        <v>59</v>
      </c>
      <c r="B148" s="6">
        <v>5.0</v>
      </c>
    </row>
    <row r="149">
      <c r="A149" s="5" t="s">
        <v>113</v>
      </c>
      <c r="B149" s="6">
        <v>3.0</v>
      </c>
    </row>
    <row r="150">
      <c r="A150" s="5" t="s">
        <v>103</v>
      </c>
      <c r="B150" s="6">
        <v>2.0</v>
      </c>
    </row>
    <row r="151">
      <c r="A151" s="5" t="s">
        <v>105</v>
      </c>
      <c r="B151" s="6">
        <v>1.0</v>
      </c>
    </row>
    <row r="152">
      <c r="A152" s="5" t="s">
        <v>114</v>
      </c>
      <c r="B152" s="6">
        <v>2.0</v>
      </c>
    </row>
    <row r="153">
      <c r="A153" s="5" t="s">
        <v>79</v>
      </c>
      <c r="B153" s="6">
        <v>2.0</v>
      </c>
    </row>
    <row r="154">
      <c r="A154" s="5" t="s">
        <v>115</v>
      </c>
      <c r="B154" s="6">
        <v>1.0</v>
      </c>
    </row>
    <row r="155">
      <c r="A155" s="5" t="s">
        <v>101</v>
      </c>
      <c r="B155" s="6">
        <v>3.0</v>
      </c>
    </row>
    <row r="156">
      <c r="A156" s="5" t="s">
        <v>50</v>
      </c>
      <c r="B156" s="6">
        <v>5.0</v>
      </c>
    </row>
    <row r="157">
      <c r="A157" s="5" t="s">
        <v>113</v>
      </c>
      <c r="B157" s="6">
        <v>1.0</v>
      </c>
    </row>
    <row r="158">
      <c r="A158" s="5" t="s">
        <v>78</v>
      </c>
      <c r="B158" s="6">
        <v>2.0</v>
      </c>
    </row>
    <row r="159">
      <c r="A159" s="5" t="s">
        <v>66</v>
      </c>
      <c r="B159" s="6">
        <v>2.0</v>
      </c>
    </row>
    <row r="160">
      <c r="A160" s="5" t="s">
        <v>116</v>
      </c>
      <c r="B160" s="6">
        <v>5.0</v>
      </c>
    </row>
    <row r="161">
      <c r="A161" s="5" t="s">
        <v>117</v>
      </c>
      <c r="B161" s="6">
        <v>3.0</v>
      </c>
    </row>
    <row r="162">
      <c r="A162" s="5" t="s">
        <v>46</v>
      </c>
      <c r="B162" s="6">
        <v>5.0</v>
      </c>
    </row>
    <row r="163">
      <c r="A163" s="5" t="s">
        <v>118</v>
      </c>
      <c r="B163" s="6">
        <v>1.0</v>
      </c>
    </row>
    <row r="164">
      <c r="A164" s="5" t="s">
        <v>112</v>
      </c>
      <c r="B164" s="6">
        <v>4.0</v>
      </c>
    </row>
    <row r="165">
      <c r="A165" s="5" t="s">
        <v>85</v>
      </c>
      <c r="B165" s="6">
        <v>3.0</v>
      </c>
    </row>
    <row r="166">
      <c r="A166" s="5" t="s">
        <v>63</v>
      </c>
      <c r="B166" s="6">
        <v>4.0</v>
      </c>
    </row>
    <row r="167">
      <c r="A167" s="5" t="s">
        <v>119</v>
      </c>
      <c r="B167" s="6">
        <v>4.0</v>
      </c>
    </row>
    <row r="168">
      <c r="A168" s="5" t="s">
        <v>84</v>
      </c>
      <c r="B168" s="6">
        <v>2.0</v>
      </c>
    </row>
    <row r="169">
      <c r="A169" s="5" t="s">
        <v>120</v>
      </c>
      <c r="B169" s="6">
        <v>5.0</v>
      </c>
    </row>
    <row r="170">
      <c r="A170" s="5" t="s">
        <v>108</v>
      </c>
      <c r="B170" s="6">
        <v>3.0</v>
      </c>
    </row>
    <row r="171">
      <c r="A171" s="5" t="s">
        <v>121</v>
      </c>
      <c r="B171" s="6">
        <v>1.0</v>
      </c>
    </row>
    <row r="172">
      <c r="A172" s="5" t="s">
        <v>85</v>
      </c>
      <c r="B172" s="6">
        <v>3.0</v>
      </c>
    </row>
    <row r="173">
      <c r="A173" s="5" t="s">
        <v>66</v>
      </c>
      <c r="B173" s="6">
        <v>4.0</v>
      </c>
    </row>
    <row r="174">
      <c r="A174" s="5" t="s">
        <v>73</v>
      </c>
      <c r="B174" s="6">
        <v>2.0</v>
      </c>
    </row>
    <row r="175">
      <c r="A175" s="5" t="s">
        <v>117</v>
      </c>
      <c r="B175" s="6">
        <v>2.0</v>
      </c>
    </row>
    <row r="176">
      <c r="A176" s="5" t="s">
        <v>122</v>
      </c>
      <c r="B176" s="6">
        <v>1.0</v>
      </c>
    </row>
    <row r="177">
      <c r="A177" s="5" t="s">
        <v>82</v>
      </c>
      <c r="B177" s="6">
        <v>1.0</v>
      </c>
    </row>
    <row r="178">
      <c r="A178" s="5" t="s">
        <v>123</v>
      </c>
      <c r="B178" s="6">
        <v>1.0</v>
      </c>
    </row>
    <row r="179">
      <c r="A179" s="5" t="s">
        <v>124</v>
      </c>
      <c r="B179" s="6">
        <v>1.0</v>
      </c>
    </row>
    <row r="180">
      <c r="A180" s="5" t="s">
        <v>125</v>
      </c>
      <c r="B180" s="6">
        <v>1.0</v>
      </c>
    </row>
    <row r="181">
      <c r="A181" s="5" t="s">
        <v>126</v>
      </c>
      <c r="B181" s="6">
        <v>4.0</v>
      </c>
    </row>
    <row r="182">
      <c r="A182" s="5" t="s">
        <v>22</v>
      </c>
      <c r="B182" s="6">
        <v>5.0</v>
      </c>
    </row>
    <row r="183">
      <c r="A183" s="5" t="s">
        <v>58</v>
      </c>
      <c r="B183" s="6">
        <v>5.0</v>
      </c>
    </row>
    <row r="184">
      <c r="A184" s="5" t="s">
        <v>127</v>
      </c>
      <c r="B184" s="6">
        <v>1.0</v>
      </c>
    </row>
    <row r="185">
      <c r="A185" s="5" t="s">
        <v>84</v>
      </c>
      <c r="B185" s="6">
        <v>3.0</v>
      </c>
    </row>
    <row r="186">
      <c r="A186" s="5" t="s">
        <v>95</v>
      </c>
      <c r="B186" s="6">
        <v>4.0</v>
      </c>
    </row>
    <row r="187">
      <c r="A187" s="5" t="s">
        <v>128</v>
      </c>
      <c r="B187" s="6">
        <v>4.0</v>
      </c>
    </row>
    <row r="188">
      <c r="A188" s="5" t="s">
        <v>65</v>
      </c>
      <c r="B188" s="6">
        <v>3.0</v>
      </c>
    </row>
    <row r="189">
      <c r="A189" s="5" t="s">
        <v>77</v>
      </c>
      <c r="B189" s="6">
        <v>3.0</v>
      </c>
    </row>
    <row r="190">
      <c r="A190" s="5" t="s">
        <v>61</v>
      </c>
      <c r="B190" s="6">
        <v>4.0</v>
      </c>
    </row>
    <row r="191">
      <c r="A191" s="5" t="s">
        <v>65</v>
      </c>
      <c r="B191" s="6">
        <v>4.0</v>
      </c>
    </row>
    <row r="192">
      <c r="A192" s="5" t="s">
        <v>114</v>
      </c>
      <c r="B192" s="6">
        <v>2.0</v>
      </c>
    </row>
    <row r="193">
      <c r="A193" s="5" t="s">
        <v>97</v>
      </c>
      <c r="B193" s="6">
        <v>5.0</v>
      </c>
    </row>
    <row r="194">
      <c r="A194" s="5" t="s">
        <v>60</v>
      </c>
      <c r="B194" s="6">
        <v>4.0</v>
      </c>
    </row>
    <row r="195">
      <c r="A195" s="5" t="s">
        <v>54</v>
      </c>
      <c r="B195" s="6">
        <v>4.0</v>
      </c>
    </row>
    <row r="196">
      <c r="A196" s="5" t="s">
        <v>129</v>
      </c>
      <c r="B196" s="6">
        <v>1.0</v>
      </c>
    </row>
    <row r="197">
      <c r="A197" s="5" t="s">
        <v>119</v>
      </c>
      <c r="B197" s="6">
        <v>5.0</v>
      </c>
    </row>
    <row r="198">
      <c r="A198" s="5" t="s">
        <v>46</v>
      </c>
      <c r="B198" s="6">
        <v>1.0</v>
      </c>
    </row>
    <row r="199">
      <c r="A199" s="5" t="s">
        <v>91</v>
      </c>
      <c r="B199" s="6">
        <v>1.0</v>
      </c>
    </row>
    <row r="200">
      <c r="A200" s="5" t="s">
        <v>116</v>
      </c>
      <c r="B200" s="6">
        <v>3.0</v>
      </c>
    </row>
    <row r="201">
      <c r="A201" s="5" t="s">
        <v>106</v>
      </c>
      <c r="B201" s="6">
        <v>4.0</v>
      </c>
    </row>
    <row r="202">
      <c r="A202" s="5" t="s">
        <v>106</v>
      </c>
      <c r="B202" s="6">
        <v>2.0</v>
      </c>
    </row>
    <row r="203">
      <c r="A203" s="5" t="s">
        <v>70</v>
      </c>
      <c r="B203" s="6">
        <v>2.0</v>
      </c>
    </row>
    <row r="204">
      <c r="A204" s="5" t="s">
        <v>86</v>
      </c>
      <c r="B204" s="6">
        <v>1.0</v>
      </c>
    </row>
    <row r="205">
      <c r="A205" s="5" t="s">
        <v>96</v>
      </c>
      <c r="B205" s="6">
        <v>4.0</v>
      </c>
    </row>
    <row r="206">
      <c r="A206" s="5" t="s">
        <v>64</v>
      </c>
      <c r="B206" s="6">
        <v>3.0</v>
      </c>
    </row>
    <row r="207">
      <c r="A207" s="5" t="s">
        <v>104</v>
      </c>
      <c r="B207" s="6">
        <v>5.0</v>
      </c>
    </row>
    <row r="208">
      <c r="A208" s="5" t="s">
        <v>114</v>
      </c>
      <c r="B208" s="6">
        <v>1.0</v>
      </c>
    </row>
    <row r="209">
      <c r="A209" s="5" t="s">
        <v>130</v>
      </c>
      <c r="B209" s="6">
        <v>5.0</v>
      </c>
    </row>
    <row r="210">
      <c r="A210" s="5" t="s">
        <v>107</v>
      </c>
      <c r="B210" s="6">
        <v>3.0</v>
      </c>
    </row>
    <row r="211">
      <c r="A211" s="5" t="s">
        <v>73</v>
      </c>
      <c r="B211" s="6">
        <v>2.0</v>
      </c>
    </row>
    <row r="212">
      <c r="A212" s="5" t="s">
        <v>83</v>
      </c>
      <c r="B212" s="6">
        <v>2.0</v>
      </c>
    </row>
    <row r="213">
      <c r="A213" s="5" t="s">
        <v>47</v>
      </c>
      <c r="B213" s="6">
        <v>1.0</v>
      </c>
    </row>
    <row r="214">
      <c r="A214" s="5" t="s">
        <v>83</v>
      </c>
      <c r="B214" s="6">
        <v>3.0</v>
      </c>
    </row>
    <row r="215">
      <c r="A215" s="5" t="s">
        <v>35</v>
      </c>
      <c r="B215" s="6">
        <v>5.0</v>
      </c>
    </row>
    <row r="216">
      <c r="A216" s="5" t="s">
        <v>59</v>
      </c>
      <c r="B216" s="6">
        <v>2.0</v>
      </c>
    </row>
    <row r="217">
      <c r="A217" s="5" t="s">
        <v>48</v>
      </c>
      <c r="B217" s="6">
        <v>1.0</v>
      </c>
    </row>
    <row r="218">
      <c r="A218" s="5" t="s">
        <v>105</v>
      </c>
      <c r="B218" s="6">
        <v>4.0</v>
      </c>
    </row>
    <row r="219">
      <c r="A219" s="5" t="s">
        <v>76</v>
      </c>
      <c r="B219" s="6">
        <v>2.0</v>
      </c>
    </row>
    <row r="220">
      <c r="A220" s="5" t="s">
        <v>94</v>
      </c>
      <c r="B220" s="6">
        <v>2.0</v>
      </c>
    </row>
    <row r="221">
      <c r="A221" s="5" t="s">
        <v>91</v>
      </c>
      <c r="B221" s="6">
        <v>5.0</v>
      </c>
    </row>
    <row r="222">
      <c r="A222" s="5" t="s">
        <v>53</v>
      </c>
      <c r="B222" s="6">
        <v>3.0</v>
      </c>
    </row>
    <row r="223">
      <c r="A223" s="5" t="s">
        <v>82</v>
      </c>
      <c r="B223" s="6">
        <v>1.0</v>
      </c>
    </row>
    <row r="224">
      <c r="A224" s="5" t="s">
        <v>77</v>
      </c>
      <c r="B224" s="6">
        <v>5.0</v>
      </c>
    </row>
    <row r="225">
      <c r="A225" s="5" t="s">
        <v>50</v>
      </c>
      <c r="B225" s="6">
        <v>5.0</v>
      </c>
    </row>
    <row r="226">
      <c r="A226" s="5" t="s">
        <v>131</v>
      </c>
      <c r="B226" s="6">
        <v>1.0</v>
      </c>
    </row>
    <row r="227">
      <c r="A227" s="5" t="s">
        <v>123</v>
      </c>
      <c r="B227" s="6">
        <v>4.0</v>
      </c>
    </row>
    <row r="228">
      <c r="A228" s="5" t="s">
        <v>80</v>
      </c>
      <c r="B228" s="6">
        <v>4.0</v>
      </c>
    </row>
    <row r="229">
      <c r="A229" s="5" t="s">
        <v>95</v>
      </c>
      <c r="B229" s="6">
        <v>2.0</v>
      </c>
    </row>
    <row r="230">
      <c r="A230" s="5" t="s">
        <v>73</v>
      </c>
      <c r="B230" s="6">
        <v>4.0</v>
      </c>
    </row>
    <row r="231">
      <c r="A231" s="5" t="s">
        <v>27</v>
      </c>
      <c r="B231" s="6">
        <v>2.0</v>
      </c>
    </row>
    <row r="232">
      <c r="A232" s="5" t="s">
        <v>76</v>
      </c>
      <c r="B232" s="6">
        <v>2.0</v>
      </c>
    </row>
    <row r="233">
      <c r="A233" s="5" t="s">
        <v>46</v>
      </c>
      <c r="B233" s="6">
        <v>5.0</v>
      </c>
    </row>
    <row r="234">
      <c r="A234" s="5" t="s">
        <v>126</v>
      </c>
      <c r="B234" s="6">
        <v>1.0</v>
      </c>
    </row>
    <row r="235">
      <c r="A235" s="5" t="s">
        <v>106</v>
      </c>
      <c r="B235" s="6">
        <v>1.0</v>
      </c>
    </row>
    <row r="236">
      <c r="A236" s="5" t="s">
        <v>115</v>
      </c>
      <c r="B236" s="6">
        <v>2.0</v>
      </c>
    </row>
    <row r="237">
      <c r="A237" s="5" t="s">
        <v>68</v>
      </c>
      <c r="B237" s="6">
        <v>2.0</v>
      </c>
    </row>
    <row r="238">
      <c r="A238" s="5" t="s">
        <v>95</v>
      </c>
      <c r="B238" s="6">
        <v>3.0</v>
      </c>
    </row>
    <row r="239">
      <c r="A239" s="5" t="s">
        <v>64</v>
      </c>
      <c r="B239" s="6">
        <v>4.0</v>
      </c>
    </row>
    <row r="240">
      <c r="A240" s="5" t="s">
        <v>72</v>
      </c>
      <c r="B240" s="6">
        <v>1.0</v>
      </c>
    </row>
    <row r="241">
      <c r="A241" s="5" t="s">
        <v>101</v>
      </c>
      <c r="B241" s="6">
        <v>2.0</v>
      </c>
    </row>
    <row r="242">
      <c r="A242" s="5" t="s">
        <v>122</v>
      </c>
      <c r="B242" s="6">
        <v>3.0</v>
      </c>
    </row>
    <row r="243">
      <c r="A243" s="5" t="s">
        <v>91</v>
      </c>
      <c r="B243" s="6">
        <v>1.0</v>
      </c>
    </row>
    <row r="244">
      <c r="A244" s="5" t="s">
        <v>111</v>
      </c>
      <c r="B244" s="6">
        <v>4.0</v>
      </c>
    </row>
    <row r="245">
      <c r="A245" s="5" t="s">
        <v>84</v>
      </c>
      <c r="B245" s="6">
        <v>1.0</v>
      </c>
    </row>
    <row r="246">
      <c r="A246" s="5" t="s">
        <v>113</v>
      </c>
      <c r="B246" s="6">
        <v>4.0</v>
      </c>
    </row>
    <row r="247">
      <c r="A247" s="5" t="s">
        <v>48</v>
      </c>
      <c r="B247" s="6">
        <v>2.0</v>
      </c>
    </row>
    <row r="248">
      <c r="A248" s="5" t="s">
        <v>54</v>
      </c>
      <c r="B248" s="6">
        <v>5.0</v>
      </c>
    </row>
    <row r="249">
      <c r="A249" s="5" t="s">
        <v>117</v>
      </c>
      <c r="B249" s="6">
        <v>1.0</v>
      </c>
    </row>
    <row r="250">
      <c r="A250" s="5" t="s">
        <v>100</v>
      </c>
      <c r="B250" s="6">
        <v>5.0</v>
      </c>
    </row>
    <row r="251">
      <c r="A251" s="5" t="s">
        <v>126</v>
      </c>
      <c r="B251" s="6">
        <v>4.0</v>
      </c>
    </row>
    <row r="252">
      <c r="A252" s="5" t="s">
        <v>110</v>
      </c>
      <c r="B252" s="6">
        <v>5.0</v>
      </c>
    </row>
    <row r="253">
      <c r="A253" s="5" t="s">
        <v>68</v>
      </c>
      <c r="B253" s="6">
        <v>3.0</v>
      </c>
    </row>
    <row r="254">
      <c r="A254" s="5" t="s">
        <v>83</v>
      </c>
      <c r="B254" s="6">
        <v>1.0</v>
      </c>
    </row>
    <row r="255">
      <c r="A255" s="5" t="s">
        <v>118</v>
      </c>
      <c r="B255" s="6">
        <v>4.0</v>
      </c>
    </row>
    <row r="256">
      <c r="A256" s="5" t="s">
        <v>119</v>
      </c>
      <c r="B256" s="6">
        <v>3.0</v>
      </c>
    </row>
    <row r="257">
      <c r="A257" s="5" t="s">
        <v>132</v>
      </c>
      <c r="B257" s="6">
        <v>3.0</v>
      </c>
    </row>
    <row r="258">
      <c r="A258" s="5" t="s">
        <v>62</v>
      </c>
      <c r="B258" s="6">
        <v>5.0</v>
      </c>
    </row>
    <row r="259">
      <c r="A259" s="5" t="s">
        <v>52</v>
      </c>
      <c r="B259" s="6">
        <v>4.0</v>
      </c>
    </row>
    <row r="260">
      <c r="A260" s="5" t="s">
        <v>101</v>
      </c>
      <c r="B260" s="6">
        <v>3.0</v>
      </c>
    </row>
    <row r="261">
      <c r="A261" s="5" t="s">
        <v>77</v>
      </c>
      <c r="B261" s="6">
        <v>1.0</v>
      </c>
    </row>
    <row r="262">
      <c r="A262" s="5" t="s">
        <v>35</v>
      </c>
      <c r="B262" s="6">
        <v>2.0</v>
      </c>
    </row>
    <row r="263">
      <c r="A263" s="5" t="s">
        <v>71</v>
      </c>
      <c r="B263" s="6">
        <v>5.0</v>
      </c>
    </row>
    <row r="264">
      <c r="A264" s="5" t="s">
        <v>27</v>
      </c>
      <c r="B264" s="6">
        <v>1.0</v>
      </c>
    </row>
    <row r="265">
      <c r="A265" s="5" t="s">
        <v>56</v>
      </c>
      <c r="B265" s="6">
        <v>1.0</v>
      </c>
    </row>
    <row r="266">
      <c r="A266" s="5" t="s">
        <v>115</v>
      </c>
      <c r="B266" s="6">
        <v>3.0</v>
      </c>
    </row>
    <row r="267">
      <c r="A267" s="5" t="s">
        <v>90</v>
      </c>
      <c r="B267" s="6">
        <v>3.0</v>
      </c>
    </row>
    <row r="268">
      <c r="A268" s="5" t="s">
        <v>83</v>
      </c>
      <c r="B268" s="6">
        <v>4.0</v>
      </c>
    </row>
    <row r="269">
      <c r="A269" s="5" t="s">
        <v>112</v>
      </c>
      <c r="B269" s="6">
        <v>2.0</v>
      </c>
    </row>
    <row r="270">
      <c r="A270" s="5" t="s">
        <v>48</v>
      </c>
      <c r="B270" s="6">
        <v>4.0</v>
      </c>
    </row>
    <row r="271">
      <c r="A271" s="5" t="s">
        <v>72</v>
      </c>
      <c r="B271" s="6">
        <v>3.0</v>
      </c>
    </row>
    <row r="272">
      <c r="A272" s="5" t="s">
        <v>107</v>
      </c>
      <c r="B272" s="6">
        <v>1.0</v>
      </c>
    </row>
    <row r="273">
      <c r="A273" s="5" t="s">
        <v>132</v>
      </c>
      <c r="B273" s="6">
        <v>1.0</v>
      </c>
    </row>
    <row r="274">
      <c r="A274" s="5" t="s">
        <v>110</v>
      </c>
      <c r="B274" s="6">
        <v>3.0</v>
      </c>
    </row>
    <row r="275">
      <c r="A275" s="5" t="s">
        <v>22</v>
      </c>
      <c r="B275" s="6">
        <v>1.0</v>
      </c>
    </row>
    <row r="276">
      <c r="A276" s="5" t="s">
        <v>100</v>
      </c>
      <c r="B276" s="6">
        <v>4.0</v>
      </c>
    </row>
    <row r="277">
      <c r="A277" s="5" t="s">
        <v>92</v>
      </c>
      <c r="B277" s="6">
        <v>2.0</v>
      </c>
    </row>
    <row r="278">
      <c r="A278" s="5" t="s">
        <v>52</v>
      </c>
      <c r="B278" s="6">
        <v>3.0</v>
      </c>
    </row>
    <row r="279">
      <c r="A279" s="5" t="s">
        <v>59</v>
      </c>
      <c r="B279" s="6">
        <v>2.0</v>
      </c>
    </row>
    <row r="280">
      <c r="A280" s="5" t="s">
        <v>68</v>
      </c>
      <c r="B280" s="6">
        <v>2.0</v>
      </c>
    </row>
    <row r="281">
      <c r="A281" s="5" t="s">
        <v>104</v>
      </c>
      <c r="B281" s="6">
        <v>5.0</v>
      </c>
    </row>
    <row r="282">
      <c r="A282" s="5" t="s">
        <v>48</v>
      </c>
      <c r="B282" s="6">
        <v>2.0</v>
      </c>
    </row>
    <row r="283">
      <c r="A283" s="5" t="s">
        <v>44</v>
      </c>
      <c r="B283" s="6">
        <v>4.0</v>
      </c>
    </row>
    <row r="284">
      <c r="A284" s="5" t="s">
        <v>133</v>
      </c>
      <c r="B284" s="6">
        <v>5.0</v>
      </c>
    </row>
    <row r="285">
      <c r="A285" s="5" t="s">
        <v>101</v>
      </c>
      <c r="B285" s="6">
        <v>4.0</v>
      </c>
    </row>
    <row r="286">
      <c r="A286" s="5" t="s">
        <v>68</v>
      </c>
      <c r="B286" s="6">
        <v>4.0</v>
      </c>
    </row>
    <row r="287">
      <c r="A287" s="5" t="s">
        <v>134</v>
      </c>
      <c r="B287" s="6">
        <v>2.0</v>
      </c>
    </row>
    <row r="288">
      <c r="A288" s="5" t="s">
        <v>94</v>
      </c>
      <c r="B288" s="6">
        <v>3.0</v>
      </c>
    </row>
    <row r="289">
      <c r="A289" s="5" t="s">
        <v>127</v>
      </c>
      <c r="B289" s="6">
        <v>1.0</v>
      </c>
    </row>
    <row r="290">
      <c r="A290" s="5" t="s">
        <v>135</v>
      </c>
      <c r="B290" s="6">
        <v>1.0</v>
      </c>
    </row>
    <row r="291">
      <c r="A291" s="5" t="s">
        <v>98</v>
      </c>
      <c r="B291" s="6">
        <v>1.0</v>
      </c>
    </row>
    <row r="292">
      <c r="A292" s="5" t="s">
        <v>85</v>
      </c>
      <c r="B292" s="6">
        <v>1.0</v>
      </c>
    </row>
    <row r="293">
      <c r="A293" s="5" t="s">
        <v>136</v>
      </c>
      <c r="B293" s="6">
        <v>1.0</v>
      </c>
    </row>
    <row r="294">
      <c r="A294" s="5" t="s">
        <v>96</v>
      </c>
      <c r="B294" s="6">
        <v>3.0</v>
      </c>
    </row>
    <row r="295">
      <c r="A295" s="5" t="s">
        <v>35</v>
      </c>
      <c r="B295" s="6">
        <v>5.0</v>
      </c>
    </row>
    <row r="296">
      <c r="A296" s="5" t="s">
        <v>55</v>
      </c>
      <c r="B296" s="6">
        <v>5.0</v>
      </c>
    </row>
    <row r="297">
      <c r="A297" s="5" t="s">
        <v>109</v>
      </c>
      <c r="B297" s="6">
        <v>4.0</v>
      </c>
    </row>
    <row r="298">
      <c r="A298" s="5" t="s">
        <v>121</v>
      </c>
      <c r="B298" s="6">
        <v>3.0</v>
      </c>
    </row>
    <row r="299">
      <c r="A299" s="5" t="s">
        <v>30</v>
      </c>
      <c r="B299" s="6">
        <v>3.0</v>
      </c>
    </row>
    <row r="300">
      <c r="A300" s="5" t="s">
        <v>116</v>
      </c>
      <c r="B300" s="6">
        <v>3.0</v>
      </c>
    </row>
    <row r="301">
      <c r="A301" s="5" t="s">
        <v>97</v>
      </c>
      <c r="B301" s="6">
        <v>5.0</v>
      </c>
    </row>
    <row r="302">
      <c r="A302" s="5" t="s">
        <v>70</v>
      </c>
      <c r="B302" s="6">
        <v>2.0</v>
      </c>
    </row>
    <row r="303">
      <c r="A303" s="5" t="s">
        <v>75</v>
      </c>
      <c r="B303" s="6">
        <v>1.0</v>
      </c>
    </row>
    <row r="304">
      <c r="A304" s="5" t="s">
        <v>104</v>
      </c>
      <c r="B304" s="6">
        <v>4.0</v>
      </c>
    </row>
    <row r="305">
      <c r="A305" s="5" t="s">
        <v>114</v>
      </c>
      <c r="B305" s="6">
        <v>2.0</v>
      </c>
    </row>
    <row r="306">
      <c r="A306" s="5" t="s">
        <v>22</v>
      </c>
      <c r="B306" s="6">
        <v>4.0</v>
      </c>
    </row>
    <row r="307">
      <c r="A307" s="5" t="s">
        <v>127</v>
      </c>
      <c r="B307" s="6">
        <v>3.0</v>
      </c>
    </row>
    <row r="308">
      <c r="A308" s="5" t="s">
        <v>84</v>
      </c>
      <c r="B308" s="6">
        <v>1.0</v>
      </c>
    </row>
    <row r="309">
      <c r="A309" s="5" t="s">
        <v>76</v>
      </c>
      <c r="B309" s="6">
        <v>4.0</v>
      </c>
    </row>
    <row r="310">
      <c r="A310" s="5" t="s">
        <v>60</v>
      </c>
      <c r="B310" s="6">
        <v>5.0</v>
      </c>
    </row>
    <row r="311">
      <c r="A311" s="5" t="s">
        <v>66</v>
      </c>
      <c r="B311" s="6">
        <v>5.0</v>
      </c>
    </row>
    <row r="312">
      <c r="A312" s="5" t="s">
        <v>95</v>
      </c>
      <c r="B312" s="6">
        <v>4.0</v>
      </c>
    </row>
    <row r="313">
      <c r="A313" s="5" t="s">
        <v>69</v>
      </c>
      <c r="B313" s="6">
        <v>4.0</v>
      </c>
    </row>
    <row r="314">
      <c r="A314" s="5" t="s">
        <v>57</v>
      </c>
      <c r="B314" s="6">
        <v>5.0</v>
      </c>
    </row>
    <row r="315">
      <c r="A315" s="5" t="s">
        <v>75</v>
      </c>
      <c r="B315" s="6">
        <v>4.0</v>
      </c>
    </row>
    <row r="316">
      <c r="A316" s="5" t="s">
        <v>79</v>
      </c>
      <c r="B316" s="6">
        <v>3.0</v>
      </c>
    </row>
    <row r="317">
      <c r="A317" s="5" t="s">
        <v>137</v>
      </c>
      <c r="B317" s="6">
        <v>1.0</v>
      </c>
    </row>
    <row r="318">
      <c r="A318" s="5" t="s">
        <v>101</v>
      </c>
      <c r="B318" s="6">
        <v>1.0</v>
      </c>
    </row>
    <row r="319">
      <c r="A319" s="5" t="s">
        <v>62</v>
      </c>
      <c r="B319" s="6">
        <v>3.0</v>
      </c>
    </row>
    <row r="320">
      <c r="A320" s="5" t="s">
        <v>65</v>
      </c>
      <c r="B320" s="6">
        <v>1.0</v>
      </c>
    </row>
    <row r="321">
      <c r="A321" s="5" t="s">
        <v>74</v>
      </c>
      <c r="B321" s="6">
        <v>2.0</v>
      </c>
    </row>
    <row r="322">
      <c r="A322" s="5" t="s">
        <v>63</v>
      </c>
      <c r="B322" s="6">
        <v>5.0</v>
      </c>
    </row>
    <row r="323">
      <c r="A323" s="5" t="s">
        <v>59</v>
      </c>
      <c r="B323" s="6">
        <v>1.0</v>
      </c>
    </row>
    <row r="324">
      <c r="A324" s="5" t="s">
        <v>121</v>
      </c>
      <c r="B324" s="6">
        <v>5.0</v>
      </c>
    </row>
    <row r="325">
      <c r="A325" s="5" t="s">
        <v>54</v>
      </c>
      <c r="B325" s="6">
        <v>2.0</v>
      </c>
    </row>
    <row r="326">
      <c r="A326" s="5" t="s">
        <v>55</v>
      </c>
      <c r="B326" s="6">
        <v>5.0</v>
      </c>
    </row>
    <row r="327">
      <c r="A327" s="5" t="s">
        <v>97</v>
      </c>
      <c r="B327" s="6">
        <v>2.0</v>
      </c>
    </row>
    <row r="328">
      <c r="A328" s="5" t="s">
        <v>45</v>
      </c>
      <c r="B328" s="6">
        <v>5.0</v>
      </c>
    </row>
    <row r="329">
      <c r="A329" s="5" t="s">
        <v>87</v>
      </c>
      <c r="B329" s="6">
        <v>2.0</v>
      </c>
    </row>
    <row r="330">
      <c r="A330" s="5" t="s">
        <v>70</v>
      </c>
      <c r="B330" s="6">
        <v>5.0</v>
      </c>
    </row>
    <row r="331">
      <c r="A331" s="5" t="s">
        <v>119</v>
      </c>
      <c r="B331" s="6">
        <v>1.0</v>
      </c>
    </row>
    <row r="332">
      <c r="A332" s="5" t="s">
        <v>123</v>
      </c>
      <c r="B332" s="6">
        <v>2.0</v>
      </c>
    </row>
    <row r="333">
      <c r="A333" s="5" t="s">
        <v>60</v>
      </c>
      <c r="B333" s="6">
        <v>1.0</v>
      </c>
    </row>
    <row r="334">
      <c r="A334" s="5" t="s">
        <v>120</v>
      </c>
      <c r="B334" s="6">
        <v>2.0</v>
      </c>
    </row>
    <row r="335">
      <c r="A335" s="5" t="s">
        <v>85</v>
      </c>
      <c r="B335" s="6">
        <v>1.0</v>
      </c>
    </row>
    <row r="336">
      <c r="A336" s="5" t="s">
        <v>127</v>
      </c>
      <c r="B336" s="6">
        <v>4.0</v>
      </c>
    </row>
    <row r="337">
      <c r="A337" s="5" t="s">
        <v>121</v>
      </c>
      <c r="B337" s="6">
        <v>4.0</v>
      </c>
    </row>
    <row r="338">
      <c r="A338" s="5" t="s">
        <v>127</v>
      </c>
      <c r="B338" s="6">
        <v>5.0</v>
      </c>
    </row>
    <row r="339">
      <c r="A339" s="5" t="s">
        <v>100</v>
      </c>
      <c r="B339" s="6">
        <v>3.0</v>
      </c>
    </row>
    <row r="340">
      <c r="A340" s="5" t="s">
        <v>104</v>
      </c>
      <c r="B340" s="6">
        <v>3.0</v>
      </c>
    </row>
    <row r="341">
      <c r="A341" s="5" t="s">
        <v>83</v>
      </c>
      <c r="B341" s="6">
        <v>4.0</v>
      </c>
    </row>
    <row r="342">
      <c r="A342" s="5" t="s">
        <v>102</v>
      </c>
      <c r="B342" s="6">
        <v>2.0</v>
      </c>
    </row>
    <row r="343">
      <c r="A343" s="5" t="s">
        <v>88</v>
      </c>
      <c r="B343" s="6">
        <v>5.0</v>
      </c>
    </row>
    <row r="344">
      <c r="A344" s="5" t="s">
        <v>40</v>
      </c>
      <c r="B344" s="6">
        <v>4.0</v>
      </c>
    </row>
    <row r="345">
      <c r="A345" s="5" t="s">
        <v>61</v>
      </c>
      <c r="B345" s="6">
        <v>5.0</v>
      </c>
    </row>
    <row r="346">
      <c r="A346" s="5" t="s">
        <v>98</v>
      </c>
      <c r="B346" s="6">
        <v>5.0</v>
      </c>
    </row>
    <row r="347">
      <c r="A347" s="5" t="s">
        <v>41</v>
      </c>
      <c r="B347" s="6">
        <v>5.0</v>
      </c>
    </row>
    <row r="348">
      <c r="A348" s="5" t="s">
        <v>135</v>
      </c>
      <c r="B348" s="6">
        <v>3.0</v>
      </c>
    </row>
    <row r="349">
      <c r="A349" s="5" t="s">
        <v>76</v>
      </c>
      <c r="B349" s="6">
        <v>2.0</v>
      </c>
    </row>
    <row r="350">
      <c r="A350" s="5" t="s">
        <v>46</v>
      </c>
      <c r="B350" s="6">
        <v>5.0</v>
      </c>
    </row>
    <row r="351">
      <c r="A351" s="5" t="s">
        <v>59</v>
      </c>
      <c r="B351" s="6">
        <v>5.0</v>
      </c>
    </row>
    <row r="352">
      <c r="A352" s="5" t="s">
        <v>122</v>
      </c>
      <c r="B352" s="6">
        <v>5.0</v>
      </c>
    </row>
    <row r="353">
      <c r="A353" s="5" t="s">
        <v>78</v>
      </c>
      <c r="B353" s="6">
        <v>2.0</v>
      </c>
    </row>
    <row r="354">
      <c r="A354" s="5" t="s">
        <v>94</v>
      </c>
      <c r="B354" s="6">
        <v>3.0</v>
      </c>
    </row>
    <row r="355">
      <c r="A355" s="5" t="s">
        <v>96</v>
      </c>
      <c r="B355" s="6">
        <v>3.0</v>
      </c>
    </row>
    <row r="356">
      <c r="A356" s="5" t="s">
        <v>107</v>
      </c>
      <c r="B356" s="6">
        <v>4.0</v>
      </c>
    </row>
    <row r="357">
      <c r="A357" s="5" t="s">
        <v>131</v>
      </c>
      <c r="B357" s="6">
        <v>5.0</v>
      </c>
    </row>
    <row r="358">
      <c r="A358" s="5" t="s">
        <v>109</v>
      </c>
      <c r="B358" s="6">
        <v>3.0</v>
      </c>
    </row>
    <row r="359">
      <c r="A359" s="5" t="s">
        <v>35</v>
      </c>
      <c r="B359" s="6">
        <v>3.0</v>
      </c>
    </row>
    <row r="360">
      <c r="A360" s="5" t="s">
        <v>44</v>
      </c>
      <c r="B360" s="6">
        <v>1.0</v>
      </c>
    </row>
    <row r="361">
      <c r="A361" s="5" t="s">
        <v>30</v>
      </c>
      <c r="B361" s="6">
        <v>2.0</v>
      </c>
    </row>
    <row r="362">
      <c r="A362" s="5" t="s">
        <v>40</v>
      </c>
      <c r="B362" s="6">
        <v>3.0</v>
      </c>
    </row>
    <row r="363">
      <c r="A363" s="5" t="s">
        <v>80</v>
      </c>
      <c r="B363" s="6">
        <v>3.0</v>
      </c>
    </row>
    <row r="364">
      <c r="A364" s="5" t="s">
        <v>54</v>
      </c>
      <c r="B364" s="6">
        <v>5.0</v>
      </c>
    </row>
    <row r="365">
      <c r="A365" s="5" t="s">
        <v>58</v>
      </c>
      <c r="B365" s="6">
        <v>4.0</v>
      </c>
    </row>
    <row r="366">
      <c r="A366" s="5" t="s">
        <v>136</v>
      </c>
      <c r="B366" s="6">
        <v>5.0</v>
      </c>
    </row>
    <row r="367">
      <c r="A367" s="5" t="s">
        <v>129</v>
      </c>
      <c r="B367" s="6">
        <v>3.0</v>
      </c>
    </row>
    <row r="368">
      <c r="A368" s="5" t="s">
        <v>121</v>
      </c>
      <c r="B368" s="6">
        <v>3.0</v>
      </c>
    </row>
    <row r="369">
      <c r="A369" s="5" t="s">
        <v>103</v>
      </c>
      <c r="B369" s="6">
        <v>3.0</v>
      </c>
    </row>
    <row r="370">
      <c r="A370" s="5" t="s">
        <v>132</v>
      </c>
      <c r="B370" s="6">
        <v>2.0</v>
      </c>
    </row>
    <row r="371">
      <c r="A371" s="5" t="s">
        <v>83</v>
      </c>
      <c r="B371" s="6">
        <v>2.0</v>
      </c>
    </row>
    <row r="372">
      <c r="A372" s="5" t="s">
        <v>94</v>
      </c>
      <c r="B372" s="6">
        <v>3.0</v>
      </c>
    </row>
    <row r="373">
      <c r="A373" s="5" t="s">
        <v>132</v>
      </c>
      <c r="B373" s="6">
        <v>5.0</v>
      </c>
    </row>
    <row r="374">
      <c r="A374" s="5" t="s">
        <v>129</v>
      </c>
      <c r="B374" s="6">
        <v>5.0</v>
      </c>
    </row>
    <row r="375">
      <c r="A375" s="5" t="s">
        <v>133</v>
      </c>
      <c r="B375" s="6">
        <v>3.0</v>
      </c>
    </row>
    <row r="376">
      <c r="A376" s="5" t="s">
        <v>44</v>
      </c>
      <c r="B376" s="6">
        <v>2.0</v>
      </c>
    </row>
    <row r="377">
      <c r="A377" s="5" t="s">
        <v>90</v>
      </c>
      <c r="B377" s="6">
        <v>2.0</v>
      </c>
    </row>
    <row r="378">
      <c r="A378" s="5" t="s">
        <v>134</v>
      </c>
      <c r="B378" s="6">
        <v>2.0</v>
      </c>
    </row>
    <row r="379">
      <c r="A379" s="5" t="s">
        <v>85</v>
      </c>
      <c r="B379" s="6">
        <v>3.0</v>
      </c>
    </row>
    <row r="380">
      <c r="A380" s="5" t="s">
        <v>63</v>
      </c>
      <c r="B380" s="6">
        <v>2.0</v>
      </c>
    </row>
    <row r="381">
      <c r="A381" s="5" t="s">
        <v>60</v>
      </c>
      <c r="B381" s="6">
        <v>4.0</v>
      </c>
    </row>
    <row r="382">
      <c r="A382" s="5" t="s">
        <v>115</v>
      </c>
      <c r="B382" s="6">
        <v>4.0</v>
      </c>
    </row>
    <row r="383">
      <c r="A383" s="5" t="s">
        <v>61</v>
      </c>
      <c r="B383" s="6">
        <v>2.0</v>
      </c>
    </row>
    <row r="384">
      <c r="A384" s="5" t="s">
        <v>60</v>
      </c>
      <c r="B384" s="6">
        <v>1.0</v>
      </c>
    </row>
    <row r="385">
      <c r="A385" s="5" t="s">
        <v>86</v>
      </c>
      <c r="B385" s="6">
        <v>5.0</v>
      </c>
    </row>
    <row r="386">
      <c r="A386" s="5" t="s">
        <v>107</v>
      </c>
      <c r="B386" s="6">
        <v>3.0</v>
      </c>
    </row>
    <row r="387">
      <c r="A387" s="5" t="s">
        <v>81</v>
      </c>
      <c r="B387" s="6">
        <v>3.0</v>
      </c>
    </row>
    <row r="388">
      <c r="A388" s="5" t="s">
        <v>48</v>
      </c>
      <c r="B388" s="6">
        <v>5.0</v>
      </c>
    </row>
    <row r="389">
      <c r="A389" s="5" t="s">
        <v>137</v>
      </c>
      <c r="B389" s="6">
        <v>2.0</v>
      </c>
    </row>
    <row r="390">
      <c r="A390" s="5" t="s">
        <v>98</v>
      </c>
      <c r="B390" s="6">
        <v>2.0</v>
      </c>
    </row>
    <row r="391">
      <c r="A391" s="5" t="s">
        <v>44</v>
      </c>
      <c r="B391" s="6">
        <v>1.0</v>
      </c>
    </row>
    <row r="392">
      <c r="A392" s="5" t="s">
        <v>68</v>
      </c>
      <c r="B392" s="6">
        <v>4.0</v>
      </c>
    </row>
    <row r="393">
      <c r="A393" s="5" t="s">
        <v>41</v>
      </c>
      <c r="B393" s="6">
        <v>1.0</v>
      </c>
    </row>
    <row r="394">
      <c r="A394" s="5" t="s">
        <v>30</v>
      </c>
      <c r="B394" s="6">
        <v>2.0</v>
      </c>
    </row>
    <row r="395">
      <c r="A395" s="5" t="s">
        <v>47</v>
      </c>
      <c r="B395" s="6">
        <v>3.0</v>
      </c>
    </row>
    <row r="396">
      <c r="A396" s="5" t="s">
        <v>103</v>
      </c>
      <c r="B396" s="6">
        <v>5.0</v>
      </c>
    </row>
    <row r="397">
      <c r="A397" s="5" t="s">
        <v>80</v>
      </c>
      <c r="B397" s="6">
        <v>1.0</v>
      </c>
    </row>
    <row r="398">
      <c r="A398" s="5" t="s">
        <v>86</v>
      </c>
      <c r="B398" s="6">
        <v>2.0</v>
      </c>
    </row>
    <row r="399">
      <c r="A399" s="5" t="s">
        <v>116</v>
      </c>
      <c r="B399" s="6">
        <v>3.0</v>
      </c>
    </row>
    <row r="400">
      <c r="A400" s="5" t="s">
        <v>105</v>
      </c>
      <c r="B400" s="6">
        <v>3.0</v>
      </c>
    </row>
    <row r="401">
      <c r="A401" s="5" t="s">
        <v>126</v>
      </c>
      <c r="B401" s="6">
        <v>5.0</v>
      </c>
    </row>
    <row r="402">
      <c r="A402" s="5" t="s">
        <v>101</v>
      </c>
      <c r="B402" s="6">
        <v>5.0</v>
      </c>
    </row>
    <row r="403">
      <c r="A403" s="5" t="s">
        <v>79</v>
      </c>
      <c r="B403" s="6">
        <v>1.0</v>
      </c>
    </row>
    <row r="404">
      <c r="A404" s="5" t="s">
        <v>126</v>
      </c>
      <c r="B404" s="6">
        <v>1.0</v>
      </c>
    </row>
    <row r="405">
      <c r="A405" s="5" t="s">
        <v>27</v>
      </c>
      <c r="B405" s="6">
        <v>3.0</v>
      </c>
    </row>
    <row r="406">
      <c r="A406" s="5" t="s">
        <v>88</v>
      </c>
      <c r="B406" s="6">
        <v>5.0</v>
      </c>
    </row>
    <row r="407">
      <c r="A407" s="5" t="s">
        <v>50</v>
      </c>
      <c r="B407" s="6">
        <v>1.0</v>
      </c>
    </row>
    <row r="408">
      <c r="A408" s="5" t="s">
        <v>68</v>
      </c>
      <c r="B408" s="6">
        <v>4.0</v>
      </c>
    </row>
    <row r="409">
      <c r="A409" s="5" t="s">
        <v>98</v>
      </c>
      <c r="B409" s="6">
        <v>1.0</v>
      </c>
    </row>
    <row r="410">
      <c r="A410" s="5" t="s">
        <v>98</v>
      </c>
      <c r="B410" s="6">
        <v>5.0</v>
      </c>
    </row>
    <row r="411">
      <c r="A411" s="5" t="s">
        <v>52</v>
      </c>
      <c r="B411" s="6">
        <v>1.0</v>
      </c>
    </row>
    <row r="412">
      <c r="A412" s="5" t="s">
        <v>93</v>
      </c>
      <c r="B412" s="6">
        <v>4.0</v>
      </c>
    </row>
    <row r="413">
      <c r="A413" s="5" t="s">
        <v>130</v>
      </c>
      <c r="B413" s="6">
        <v>1.0</v>
      </c>
    </row>
    <row r="414">
      <c r="A414" s="5" t="s">
        <v>105</v>
      </c>
      <c r="B414" s="6">
        <v>5.0</v>
      </c>
    </row>
    <row r="415">
      <c r="A415" s="5" t="s">
        <v>86</v>
      </c>
      <c r="B415" s="6">
        <v>2.0</v>
      </c>
    </row>
    <row r="416">
      <c r="A416" s="5" t="s">
        <v>40</v>
      </c>
      <c r="B416" s="6">
        <v>4.0</v>
      </c>
    </row>
    <row r="417">
      <c r="A417" s="5" t="s">
        <v>93</v>
      </c>
      <c r="B417" s="6">
        <v>3.0</v>
      </c>
    </row>
    <row r="418">
      <c r="A418" s="5" t="s">
        <v>76</v>
      </c>
      <c r="B418" s="6">
        <v>2.0</v>
      </c>
    </row>
    <row r="419">
      <c r="A419" s="5" t="s">
        <v>22</v>
      </c>
      <c r="B419" s="6">
        <v>5.0</v>
      </c>
    </row>
    <row r="420">
      <c r="A420" s="5" t="s">
        <v>116</v>
      </c>
      <c r="B420" s="6">
        <v>5.0</v>
      </c>
    </row>
    <row r="421">
      <c r="A421" s="5" t="s">
        <v>110</v>
      </c>
      <c r="B421" s="6">
        <v>1.0</v>
      </c>
    </row>
    <row r="422">
      <c r="A422" s="5" t="s">
        <v>40</v>
      </c>
      <c r="B422" s="6">
        <v>2.0</v>
      </c>
    </row>
    <row r="423">
      <c r="A423" s="5" t="s">
        <v>80</v>
      </c>
      <c r="B423" s="6">
        <v>5.0</v>
      </c>
    </row>
    <row r="424">
      <c r="A424" s="5" t="s">
        <v>79</v>
      </c>
      <c r="B424" s="6">
        <v>4.0</v>
      </c>
    </row>
    <row r="425">
      <c r="A425" s="5" t="s">
        <v>118</v>
      </c>
      <c r="B425" s="6">
        <v>3.0</v>
      </c>
    </row>
    <row r="426">
      <c r="A426" s="5" t="s">
        <v>113</v>
      </c>
      <c r="B426" s="6">
        <v>1.0</v>
      </c>
    </row>
    <row r="427">
      <c r="A427" s="5" t="s">
        <v>121</v>
      </c>
      <c r="B427" s="6">
        <v>1.0</v>
      </c>
    </row>
    <row r="428">
      <c r="A428" s="5" t="s">
        <v>138</v>
      </c>
      <c r="B428" s="6">
        <v>2.0</v>
      </c>
    </row>
    <row r="429">
      <c r="A429" s="5" t="s">
        <v>101</v>
      </c>
      <c r="B429" s="6">
        <v>4.0</v>
      </c>
    </row>
    <row r="430">
      <c r="A430" s="5" t="s">
        <v>136</v>
      </c>
      <c r="B430" s="6">
        <v>2.0</v>
      </c>
    </row>
    <row r="431">
      <c r="A431" s="5" t="s">
        <v>35</v>
      </c>
      <c r="B431" s="6">
        <v>5.0</v>
      </c>
    </row>
    <row r="432">
      <c r="A432" s="5" t="s">
        <v>101</v>
      </c>
      <c r="B432" s="6">
        <v>5.0</v>
      </c>
    </row>
    <row r="433">
      <c r="A433" s="5" t="s">
        <v>45</v>
      </c>
      <c r="B433" s="6">
        <v>5.0</v>
      </c>
    </row>
    <row r="434">
      <c r="A434" s="5" t="s">
        <v>120</v>
      </c>
      <c r="B434" s="6">
        <v>3.0</v>
      </c>
    </row>
    <row r="435">
      <c r="A435" s="5" t="s">
        <v>79</v>
      </c>
      <c r="B435" s="6">
        <v>2.0</v>
      </c>
    </row>
    <row r="436">
      <c r="A436" s="5" t="s">
        <v>121</v>
      </c>
      <c r="B436" s="6">
        <v>2.0</v>
      </c>
    </row>
    <row r="437">
      <c r="A437" s="5" t="s">
        <v>62</v>
      </c>
      <c r="B437" s="6">
        <v>1.0</v>
      </c>
    </row>
    <row r="438">
      <c r="A438" s="5" t="s">
        <v>122</v>
      </c>
      <c r="B438" s="6">
        <v>2.0</v>
      </c>
    </row>
    <row r="439">
      <c r="A439" s="5" t="s">
        <v>54</v>
      </c>
      <c r="B439" s="6">
        <v>5.0</v>
      </c>
    </row>
    <row r="440">
      <c r="A440" s="5" t="s">
        <v>109</v>
      </c>
      <c r="B440" s="6">
        <v>5.0</v>
      </c>
    </row>
    <row r="441">
      <c r="A441" s="5" t="s">
        <v>15</v>
      </c>
      <c r="B441" s="6">
        <v>1.0</v>
      </c>
    </row>
    <row r="442">
      <c r="A442" s="5" t="s">
        <v>98</v>
      </c>
      <c r="B442" s="6">
        <v>2.0</v>
      </c>
    </row>
    <row r="443">
      <c r="A443" s="5" t="s">
        <v>110</v>
      </c>
      <c r="B443" s="6">
        <v>5.0</v>
      </c>
    </row>
    <row r="444">
      <c r="A444" s="5" t="s">
        <v>55</v>
      </c>
      <c r="B444" s="6">
        <v>3.0</v>
      </c>
    </row>
    <row r="445">
      <c r="A445" s="5" t="s">
        <v>74</v>
      </c>
      <c r="B445" s="6">
        <v>5.0</v>
      </c>
    </row>
    <row r="446">
      <c r="A446" s="5" t="s">
        <v>79</v>
      </c>
      <c r="B446" s="6">
        <v>4.0</v>
      </c>
    </row>
    <row r="447">
      <c r="A447" s="5" t="s">
        <v>68</v>
      </c>
      <c r="B447" s="6">
        <v>1.0</v>
      </c>
    </row>
    <row r="448">
      <c r="A448" s="5" t="s">
        <v>77</v>
      </c>
      <c r="B448" s="6">
        <v>2.0</v>
      </c>
    </row>
    <row r="449">
      <c r="A449" s="5" t="s">
        <v>75</v>
      </c>
      <c r="B449" s="6">
        <v>5.0</v>
      </c>
    </row>
    <row r="450">
      <c r="A450" s="5" t="s">
        <v>73</v>
      </c>
      <c r="B450" s="6">
        <v>5.0</v>
      </c>
    </row>
    <row r="451">
      <c r="A451" s="5" t="s">
        <v>79</v>
      </c>
      <c r="B451" s="6">
        <v>4.0</v>
      </c>
    </row>
    <row r="452">
      <c r="A452" s="5" t="s">
        <v>108</v>
      </c>
      <c r="B452" s="6">
        <v>1.0</v>
      </c>
    </row>
    <row r="453">
      <c r="A453" s="5" t="s">
        <v>56</v>
      </c>
      <c r="B453" s="6">
        <v>3.0</v>
      </c>
    </row>
    <row r="454">
      <c r="A454" s="5" t="s">
        <v>97</v>
      </c>
      <c r="B454" s="6">
        <v>5.0</v>
      </c>
    </row>
    <row r="455">
      <c r="A455" s="5" t="s">
        <v>112</v>
      </c>
      <c r="B455" s="6">
        <v>1.0</v>
      </c>
    </row>
    <row r="456">
      <c r="A456" s="5" t="s">
        <v>87</v>
      </c>
      <c r="B456" s="6">
        <v>5.0</v>
      </c>
    </row>
    <row r="457">
      <c r="A457" s="5" t="s">
        <v>68</v>
      </c>
      <c r="B457" s="6">
        <v>5.0</v>
      </c>
    </row>
    <row r="458">
      <c r="A458" s="5" t="s">
        <v>50</v>
      </c>
      <c r="B458" s="6">
        <v>4.0</v>
      </c>
    </row>
    <row r="459">
      <c r="A459" s="5" t="s">
        <v>78</v>
      </c>
      <c r="B459" s="6">
        <v>2.0</v>
      </c>
    </row>
    <row r="460">
      <c r="A460" s="5" t="s">
        <v>108</v>
      </c>
      <c r="B460" s="6">
        <v>1.0</v>
      </c>
    </row>
    <row r="461">
      <c r="A461" s="5" t="s">
        <v>73</v>
      </c>
      <c r="B461" s="6">
        <v>1.0</v>
      </c>
    </row>
    <row r="462">
      <c r="A462" s="5" t="s">
        <v>58</v>
      </c>
      <c r="B462" s="6">
        <v>3.0</v>
      </c>
    </row>
    <row r="463">
      <c r="A463" s="5" t="s">
        <v>96</v>
      </c>
      <c r="B463" s="6">
        <v>1.0</v>
      </c>
    </row>
    <row r="464">
      <c r="A464" s="5" t="s">
        <v>120</v>
      </c>
      <c r="B464" s="6">
        <v>1.0</v>
      </c>
    </row>
    <row r="465">
      <c r="A465" s="5" t="s">
        <v>95</v>
      </c>
      <c r="B465" s="6">
        <v>2.0</v>
      </c>
    </row>
    <row r="466">
      <c r="A466" s="5" t="s">
        <v>106</v>
      </c>
      <c r="B466" s="6">
        <v>2.0</v>
      </c>
    </row>
    <row r="467">
      <c r="A467" s="5" t="s">
        <v>56</v>
      </c>
      <c r="B467" s="6">
        <v>3.0</v>
      </c>
    </row>
    <row r="468">
      <c r="A468" s="5" t="s">
        <v>138</v>
      </c>
      <c r="B468" s="6">
        <v>4.0</v>
      </c>
    </row>
    <row r="469">
      <c r="A469" s="5" t="s">
        <v>67</v>
      </c>
      <c r="B469" s="6">
        <v>5.0</v>
      </c>
    </row>
    <row r="470">
      <c r="A470" s="5" t="s">
        <v>85</v>
      </c>
      <c r="B470" s="6">
        <v>4.0</v>
      </c>
    </row>
    <row r="471">
      <c r="A471" s="5" t="s">
        <v>87</v>
      </c>
      <c r="B471" s="6">
        <v>3.0</v>
      </c>
    </row>
    <row r="472">
      <c r="A472" s="5" t="s">
        <v>44</v>
      </c>
      <c r="B472" s="6">
        <v>2.0</v>
      </c>
    </row>
    <row r="473">
      <c r="A473" s="5" t="s">
        <v>47</v>
      </c>
      <c r="B473" s="6">
        <v>4.0</v>
      </c>
    </row>
    <row r="474">
      <c r="A474" s="5" t="s">
        <v>99</v>
      </c>
      <c r="B474" s="6">
        <v>4.0</v>
      </c>
    </row>
    <row r="475">
      <c r="A475" s="5" t="s">
        <v>86</v>
      </c>
      <c r="B475" s="6">
        <v>2.0</v>
      </c>
    </row>
    <row r="476">
      <c r="A476" s="5" t="s">
        <v>91</v>
      </c>
      <c r="B476" s="6">
        <v>5.0</v>
      </c>
    </row>
    <row r="477">
      <c r="A477" s="5" t="s">
        <v>109</v>
      </c>
      <c r="B477" s="6">
        <v>5.0</v>
      </c>
    </row>
    <row r="478">
      <c r="A478" s="5" t="s">
        <v>112</v>
      </c>
      <c r="B478" s="6">
        <v>2.0</v>
      </c>
    </row>
    <row r="479">
      <c r="A479" s="5" t="s">
        <v>58</v>
      </c>
      <c r="B479" s="6">
        <v>5.0</v>
      </c>
    </row>
    <row r="480">
      <c r="A480" s="5" t="s">
        <v>65</v>
      </c>
      <c r="B480" s="6">
        <v>1.0</v>
      </c>
    </row>
    <row r="481">
      <c r="A481" s="5" t="s">
        <v>92</v>
      </c>
      <c r="B481" s="6">
        <v>4.0</v>
      </c>
    </row>
    <row r="482">
      <c r="A482" s="5" t="s">
        <v>136</v>
      </c>
      <c r="B482" s="6">
        <v>3.0</v>
      </c>
    </row>
    <row r="483">
      <c r="A483" s="5" t="s">
        <v>62</v>
      </c>
      <c r="B483" s="6">
        <v>1.0</v>
      </c>
    </row>
    <row r="484">
      <c r="A484" s="5" t="s">
        <v>66</v>
      </c>
      <c r="B484" s="6">
        <v>1.0</v>
      </c>
    </row>
    <row r="485">
      <c r="A485" s="5" t="s">
        <v>62</v>
      </c>
      <c r="B485" s="6">
        <v>1.0</v>
      </c>
    </row>
    <row r="486">
      <c r="A486" s="5" t="s">
        <v>91</v>
      </c>
      <c r="B486" s="6">
        <v>1.0</v>
      </c>
    </row>
    <row r="487">
      <c r="A487" s="5" t="s">
        <v>58</v>
      </c>
      <c r="B487" s="6">
        <v>4.0</v>
      </c>
    </row>
    <row r="488">
      <c r="A488" s="5" t="s">
        <v>105</v>
      </c>
      <c r="B488" s="6">
        <v>1.0</v>
      </c>
    </row>
    <row r="489">
      <c r="A489" s="5" t="s">
        <v>99</v>
      </c>
      <c r="B489" s="6">
        <v>2.0</v>
      </c>
    </row>
    <row r="490">
      <c r="A490" s="5" t="s">
        <v>99</v>
      </c>
      <c r="B490" s="6">
        <v>3.0</v>
      </c>
    </row>
    <row r="491">
      <c r="A491" s="5" t="s">
        <v>57</v>
      </c>
      <c r="B491" s="6">
        <v>5.0</v>
      </c>
    </row>
    <row r="492">
      <c r="A492" s="5" t="s">
        <v>75</v>
      </c>
      <c r="B492" s="6">
        <v>2.0</v>
      </c>
    </row>
    <row r="493">
      <c r="A493" s="5" t="s">
        <v>35</v>
      </c>
      <c r="B493" s="6">
        <v>2.0</v>
      </c>
    </row>
    <row r="494">
      <c r="A494" s="5" t="s">
        <v>123</v>
      </c>
      <c r="B494" s="6">
        <v>3.0</v>
      </c>
    </row>
    <row r="495">
      <c r="A495" s="5" t="s">
        <v>22</v>
      </c>
      <c r="B495" s="6">
        <v>1.0</v>
      </c>
    </row>
    <row r="496">
      <c r="A496" s="5" t="s">
        <v>82</v>
      </c>
      <c r="B496" s="6">
        <v>2.0</v>
      </c>
    </row>
    <row r="497">
      <c r="A497" s="5" t="s">
        <v>99</v>
      </c>
      <c r="B497" s="6">
        <v>3.0</v>
      </c>
    </row>
    <row r="498">
      <c r="A498" s="5" t="s">
        <v>95</v>
      </c>
      <c r="B498" s="6">
        <v>5.0</v>
      </c>
    </row>
    <row r="499">
      <c r="A499" s="5" t="s">
        <v>91</v>
      </c>
      <c r="B499" s="6">
        <v>2.0</v>
      </c>
    </row>
    <row r="500">
      <c r="A500" s="5" t="s">
        <v>60</v>
      </c>
      <c r="B500" s="6">
        <v>2.0</v>
      </c>
    </row>
    <row r="501">
      <c r="A501" s="5" t="s">
        <v>100</v>
      </c>
      <c r="B501" s="6">
        <v>5.0</v>
      </c>
    </row>
    <row r="502">
      <c r="A502" s="5"/>
      <c r="B502" s="5"/>
    </row>
    <row r="503">
      <c r="A503" s="5"/>
      <c r="B503" s="5"/>
    </row>
    <row r="504">
      <c r="A504" s="5"/>
      <c r="B504" s="5"/>
    </row>
    <row r="505">
      <c r="A505" s="5"/>
      <c r="B505" s="5"/>
    </row>
    <row r="506">
      <c r="A506" s="5"/>
      <c r="B506" s="5"/>
    </row>
    <row r="507">
      <c r="A507" s="5"/>
      <c r="B507" s="5"/>
    </row>
    <row r="508">
      <c r="A508" s="5"/>
      <c r="B508" s="5"/>
    </row>
    <row r="509">
      <c r="A509" s="5"/>
      <c r="B509" s="5"/>
    </row>
    <row r="510">
      <c r="A510" s="5"/>
      <c r="B510" s="5"/>
    </row>
    <row r="511">
      <c r="A511" s="5"/>
      <c r="B511" s="5"/>
    </row>
    <row r="512">
      <c r="A512" s="5"/>
      <c r="B512" s="5"/>
    </row>
    <row r="513">
      <c r="A513" s="5"/>
      <c r="B513" s="5"/>
    </row>
    <row r="514">
      <c r="A514" s="5"/>
      <c r="B514" s="5"/>
    </row>
    <row r="515">
      <c r="A515" s="5"/>
      <c r="B515" s="5"/>
    </row>
    <row r="516">
      <c r="A516" s="5"/>
      <c r="B516" s="5"/>
    </row>
    <row r="517">
      <c r="A517" s="5"/>
      <c r="B517" s="5"/>
    </row>
    <row r="518">
      <c r="A518" s="5"/>
      <c r="B518" s="5"/>
    </row>
    <row r="519">
      <c r="A519" s="5"/>
      <c r="B519" s="5"/>
    </row>
    <row r="520">
      <c r="A520" s="5"/>
      <c r="B520" s="5"/>
    </row>
    <row r="521">
      <c r="A521" s="5"/>
      <c r="B521" s="5"/>
    </row>
    <row r="522">
      <c r="A522" s="5"/>
      <c r="B522" s="5"/>
    </row>
    <row r="523">
      <c r="A523" s="5"/>
      <c r="B523" s="5"/>
    </row>
    <row r="524">
      <c r="A524" s="5"/>
      <c r="B524" s="5"/>
    </row>
    <row r="525">
      <c r="A525" s="5"/>
      <c r="B525" s="5"/>
    </row>
    <row r="526">
      <c r="A526" s="5"/>
      <c r="B526" s="5"/>
    </row>
    <row r="527">
      <c r="A527" s="5"/>
      <c r="B527" s="5"/>
    </row>
    <row r="528">
      <c r="A528" s="5"/>
      <c r="B528" s="5"/>
    </row>
    <row r="529">
      <c r="A529" s="5"/>
      <c r="B529" s="5"/>
    </row>
    <row r="530">
      <c r="A530" s="5"/>
      <c r="B530" s="5"/>
    </row>
    <row r="531">
      <c r="A531" s="5"/>
      <c r="B531" s="5"/>
    </row>
    <row r="532">
      <c r="A532" s="5"/>
      <c r="B532" s="5"/>
    </row>
    <row r="533">
      <c r="A533" s="5"/>
      <c r="B533" s="5"/>
    </row>
    <row r="534">
      <c r="A534" s="5"/>
      <c r="B534" s="5"/>
    </row>
    <row r="535">
      <c r="A535" s="5"/>
      <c r="B535" s="5"/>
    </row>
    <row r="536">
      <c r="A536" s="5"/>
      <c r="B536" s="5"/>
    </row>
    <row r="537">
      <c r="A537" s="5"/>
      <c r="B537" s="5"/>
    </row>
    <row r="538">
      <c r="A538" s="5"/>
      <c r="B538" s="5"/>
    </row>
    <row r="539">
      <c r="A539" s="5"/>
      <c r="B539" s="5"/>
    </row>
    <row r="540">
      <c r="A540" s="5"/>
      <c r="B540" s="5"/>
    </row>
    <row r="541">
      <c r="A541" s="5"/>
      <c r="B541" s="5"/>
    </row>
    <row r="542">
      <c r="A542" s="5"/>
      <c r="B542" s="5"/>
    </row>
    <row r="543">
      <c r="A543" s="5"/>
      <c r="B543" s="5"/>
    </row>
    <row r="544">
      <c r="A544" s="5"/>
      <c r="B544" s="5"/>
    </row>
    <row r="545">
      <c r="A545" s="5"/>
      <c r="B545" s="5"/>
    </row>
    <row r="546">
      <c r="A546" s="5"/>
      <c r="B546" s="5"/>
    </row>
    <row r="547">
      <c r="A547" s="5"/>
      <c r="B547" s="5"/>
    </row>
    <row r="548">
      <c r="A548" s="5"/>
      <c r="B548" s="5"/>
    </row>
    <row r="549">
      <c r="A549" s="5"/>
      <c r="B549" s="5"/>
    </row>
    <row r="550">
      <c r="A550" s="5"/>
      <c r="B550" s="5"/>
    </row>
    <row r="551">
      <c r="A551" s="5"/>
      <c r="B551" s="5"/>
    </row>
    <row r="552">
      <c r="A552" s="5"/>
      <c r="B552" s="5"/>
    </row>
    <row r="553">
      <c r="A553" s="5"/>
      <c r="B553" s="5"/>
    </row>
    <row r="554">
      <c r="A554" s="5"/>
      <c r="B554" s="5"/>
    </row>
    <row r="555">
      <c r="A555" s="5"/>
      <c r="B555" s="5"/>
    </row>
    <row r="556">
      <c r="A556" s="5"/>
      <c r="B556" s="5"/>
    </row>
    <row r="557">
      <c r="A557" s="5"/>
      <c r="B557" s="5"/>
    </row>
    <row r="558">
      <c r="A558" s="5"/>
      <c r="B558" s="5"/>
    </row>
    <row r="559">
      <c r="A559" s="5"/>
      <c r="B559" s="5"/>
    </row>
    <row r="560">
      <c r="A560" s="5"/>
      <c r="B560" s="5"/>
    </row>
    <row r="561">
      <c r="A561" s="5"/>
      <c r="B561" s="5"/>
    </row>
    <row r="562">
      <c r="A562" s="5"/>
      <c r="B562" s="5"/>
    </row>
    <row r="563">
      <c r="A563" s="5"/>
      <c r="B563" s="5"/>
    </row>
    <row r="564">
      <c r="A564" s="5"/>
      <c r="B564" s="5"/>
    </row>
    <row r="565">
      <c r="A565" s="5"/>
      <c r="B565" s="5"/>
    </row>
    <row r="566">
      <c r="A566" s="5"/>
      <c r="B566" s="5"/>
    </row>
    <row r="567">
      <c r="A567" s="5"/>
      <c r="B567" s="5"/>
    </row>
    <row r="568">
      <c r="A568" s="5"/>
      <c r="B568" s="5"/>
    </row>
    <row r="569">
      <c r="A569" s="5"/>
      <c r="B569" s="5"/>
    </row>
    <row r="570">
      <c r="A570" s="5"/>
      <c r="B570" s="5"/>
    </row>
    <row r="571">
      <c r="A571" s="5"/>
      <c r="B571" s="5"/>
    </row>
    <row r="572">
      <c r="A572" s="5"/>
      <c r="B572" s="5"/>
    </row>
    <row r="573">
      <c r="A573" s="5"/>
      <c r="B573" s="5"/>
    </row>
    <row r="574">
      <c r="A574" s="5"/>
      <c r="B574" s="5"/>
    </row>
    <row r="575">
      <c r="A575" s="5"/>
      <c r="B575" s="5"/>
    </row>
    <row r="576">
      <c r="A576" s="5"/>
      <c r="B576" s="5"/>
    </row>
    <row r="577">
      <c r="A577" s="5"/>
      <c r="B577" s="5"/>
    </row>
    <row r="578">
      <c r="A578" s="5"/>
      <c r="B578" s="5"/>
    </row>
    <row r="579">
      <c r="A579" s="5"/>
      <c r="B579" s="5"/>
    </row>
    <row r="580">
      <c r="A580" s="5"/>
      <c r="B580" s="5"/>
    </row>
    <row r="581">
      <c r="A581" s="5"/>
      <c r="B581" s="5"/>
    </row>
    <row r="582">
      <c r="A582" s="5"/>
      <c r="B582" s="5"/>
    </row>
    <row r="583">
      <c r="A583" s="5"/>
      <c r="B583" s="5"/>
    </row>
    <row r="584">
      <c r="A584" s="5"/>
      <c r="B584" s="5"/>
    </row>
    <row r="585">
      <c r="A585" s="5"/>
      <c r="B585" s="5"/>
    </row>
    <row r="586">
      <c r="A586" s="5"/>
      <c r="B586" s="5"/>
    </row>
    <row r="587">
      <c r="A587" s="5"/>
      <c r="B587" s="5"/>
    </row>
    <row r="588">
      <c r="A588" s="5"/>
      <c r="B588" s="5"/>
    </row>
    <row r="589">
      <c r="A589" s="5"/>
      <c r="B589" s="5"/>
    </row>
    <row r="590">
      <c r="A590" s="5"/>
      <c r="B590" s="5"/>
    </row>
    <row r="591">
      <c r="A591" s="5"/>
      <c r="B591" s="5"/>
    </row>
    <row r="592">
      <c r="A592" s="5"/>
      <c r="B592" s="5"/>
    </row>
    <row r="593">
      <c r="A593" s="5"/>
      <c r="B593" s="5"/>
    </row>
    <row r="594">
      <c r="A594" s="5"/>
      <c r="B594" s="5"/>
    </row>
    <row r="595">
      <c r="A595" s="5"/>
      <c r="B595" s="5"/>
    </row>
    <row r="596">
      <c r="A596" s="5"/>
      <c r="B596" s="5"/>
    </row>
    <row r="597">
      <c r="A597" s="5"/>
      <c r="B597" s="5"/>
    </row>
    <row r="598">
      <c r="A598" s="5"/>
      <c r="B598" s="5"/>
    </row>
    <row r="599">
      <c r="A599" s="5"/>
      <c r="B599" s="5"/>
    </row>
    <row r="600">
      <c r="A600" s="5"/>
      <c r="B600" s="5"/>
    </row>
    <row r="601">
      <c r="A601" s="5"/>
      <c r="B601" s="5"/>
    </row>
    <row r="602">
      <c r="A602" s="5"/>
      <c r="B602" s="5"/>
    </row>
    <row r="603">
      <c r="A603" s="5"/>
      <c r="B603" s="5"/>
    </row>
    <row r="604">
      <c r="A604" s="5"/>
      <c r="B604" s="5"/>
    </row>
    <row r="605">
      <c r="A605" s="5"/>
      <c r="B605" s="5"/>
    </row>
    <row r="606">
      <c r="A606" s="5"/>
      <c r="B606" s="5"/>
    </row>
    <row r="607">
      <c r="A607" s="5"/>
      <c r="B607" s="5"/>
    </row>
    <row r="608">
      <c r="A608" s="5"/>
      <c r="B608" s="5"/>
    </row>
    <row r="609">
      <c r="A609" s="5"/>
      <c r="B609" s="5"/>
    </row>
    <row r="610">
      <c r="A610" s="5"/>
      <c r="B610" s="5"/>
    </row>
    <row r="611">
      <c r="A611" s="5"/>
      <c r="B611" s="5"/>
    </row>
    <row r="612">
      <c r="A612" s="5"/>
      <c r="B612" s="5"/>
    </row>
    <row r="613">
      <c r="A613" s="5"/>
      <c r="B613" s="5"/>
    </row>
    <row r="614">
      <c r="A614" s="5"/>
      <c r="B614" s="5"/>
    </row>
    <row r="615">
      <c r="A615" s="5"/>
      <c r="B615" s="5"/>
    </row>
    <row r="616">
      <c r="A616" s="5"/>
      <c r="B616" s="5"/>
    </row>
    <row r="617">
      <c r="A617" s="5"/>
      <c r="B617" s="5"/>
    </row>
    <row r="618">
      <c r="A618" s="5"/>
      <c r="B618" s="5"/>
    </row>
    <row r="619">
      <c r="A619" s="5"/>
      <c r="B619" s="5"/>
    </row>
    <row r="620">
      <c r="A620" s="5"/>
      <c r="B620" s="5"/>
    </row>
    <row r="621">
      <c r="A621" s="5"/>
      <c r="B621" s="5"/>
    </row>
    <row r="622">
      <c r="A622" s="5"/>
      <c r="B622" s="5"/>
    </row>
    <row r="623">
      <c r="A623" s="5"/>
      <c r="B623" s="5"/>
    </row>
    <row r="624">
      <c r="A624" s="5"/>
      <c r="B624" s="5"/>
    </row>
    <row r="625">
      <c r="A625" s="5"/>
      <c r="B625" s="5"/>
    </row>
    <row r="626">
      <c r="A626" s="5"/>
      <c r="B626" s="5"/>
    </row>
    <row r="627">
      <c r="A627" s="5"/>
      <c r="B627" s="5"/>
    </row>
    <row r="628">
      <c r="A628" s="5"/>
      <c r="B628" s="5"/>
    </row>
    <row r="629">
      <c r="A629" s="5"/>
      <c r="B629" s="5"/>
    </row>
    <row r="630">
      <c r="A630" s="5"/>
      <c r="B630" s="5"/>
    </row>
    <row r="631">
      <c r="A631" s="5"/>
      <c r="B631" s="5"/>
    </row>
    <row r="632">
      <c r="A632" s="5"/>
      <c r="B632" s="5"/>
    </row>
    <row r="633">
      <c r="A633" s="5"/>
      <c r="B633" s="5"/>
    </row>
    <row r="634">
      <c r="A634" s="5"/>
      <c r="B634" s="5"/>
    </row>
    <row r="635">
      <c r="A635" s="5"/>
      <c r="B635" s="5"/>
    </row>
    <row r="636">
      <c r="A636" s="5"/>
      <c r="B636" s="5"/>
    </row>
    <row r="637">
      <c r="A637" s="5"/>
      <c r="B637" s="5"/>
    </row>
    <row r="638">
      <c r="A638" s="5"/>
      <c r="B638" s="5"/>
    </row>
    <row r="639">
      <c r="A639" s="5"/>
      <c r="B639" s="5"/>
    </row>
    <row r="640">
      <c r="A640" s="5"/>
      <c r="B640" s="5"/>
    </row>
    <row r="641">
      <c r="A641" s="5"/>
      <c r="B641" s="5"/>
    </row>
    <row r="642">
      <c r="A642" s="5"/>
      <c r="B642" s="5"/>
    </row>
    <row r="643">
      <c r="A643" s="5"/>
      <c r="B643" s="5"/>
    </row>
    <row r="644">
      <c r="A644" s="5"/>
      <c r="B644" s="5"/>
    </row>
    <row r="645">
      <c r="A645" s="5"/>
      <c r="B645" s="5"/>
    </row>
    <row r="646">
      <c r="A646" s="5"/>
      <c r="B646" s="5"/>
    </row>
    <row r="647">
      <c r="A647" s="5"/>
      <c r="B647" s="5"/>
    </row>
    <row r="648">
      <c r="A648" s="5"/>
      <c r="B648" s="5"/>
    </row>
    <row r="649">
      <c r="A649" s="5"/>
      <c r="B649" s="5"/>
    </row>
    <row r="650">
      <c r="A650" s="5"/>
      <c r="B650" s="5"/>
    </row>
    <row r="651">
      <c r="A651" s="5"/>
      <c r="B651" s="5"/>
    </row>
    <row r="652">
      <c r="A652" s="5"/>
      <c r="B652" s="5"/>
    </row>
    <row r="653">
      <c r="A653" s="5"/>
      <c r="B653" s="5"/>
    </row>
    <row r="654">
      <c r="A654" s="5"/>
      <c r="B654" s="5"/>
    </row>
    <row r="655">
      <c r="A655" s="5"/>
      <c r="B655" s="5"/>
    </row>
    <row r="656">
      <c r="A656" s="5"/>
      <c r="B656" s="5"/>
    </row>
    <row r="657">
      <c r="A657" s="5"/>
      <c r="B657" s="5"/>
    </row>
    <row r="658">
      <c r="A658" s="5"/>
      <c r="B658" s="5"/>
    </row>
    <row r="659">
      <c r="A659" s="5"/>
      <c r="B659" s="5"/>
    </row>
    <row r="660">
      <c r="A660" s="5"/>
      <c r="B660" s="5"/>
    </row>
    <row r="661">
      <c r="A661" s="5"/>
      <c r="B661" s="5"/>
    </row>
    <row r="662">
      <c r="A662" s="5"/>
      <c r="B662" s="5"/>
    </row>
    <row r="663">
      <c r="A663" s="5"/>
      <c r="B663" s="5"/>
    </row>
    <row r="664">
      <c r="A664" s="5"/>
      <c r="B664" s="5"/>
    </row>
    <row r="665">
      <c r="A665" s="5"/>
      <c r="B665" s="5"/>
    </row>
    <row r="666">
      <c r="A666" s="5"/>
      <c r="B666" s="5"/>
    </row>
    <row r="667">
      <c r="A667" s="5"/>
      <c r="B667" s="5"/>
    </row>
    <row r="668">
      <c r="A668" s="5"/>
      <c r="B668" s="5"/>
    </row>
    <row r="669">
      <c r="A669" s="5"/>
      <c r="B669" s="5"/>
    </row>
    <row r="670">
      <c r="A670" s="5"/>
      <c r="B670" s="5"/>
    </row>
    <row r="671">
      <c r="A671" s="5"/>
      <c r="B671" s="5"/>
    </row>
    <row r="672">
      <c r="A672" s="5"/>
      <c r="B672" s="5"/>
    </row>
    <row r="673">
      <c r="A673" s="5"/>
      <c r="B673" s="5"/>
    </row>
    <row r="674">
      <c r="A674" s="5"/>
      <c r="B674" s="5"/>
    </row>
    <row r="675">
      <c r="A675" s="5"/>
      <c r="B675" s="5"/>
    </row>
    <row r="676">
      <c r="A676" s="5"/>
      <c r="B676" s="5"/>
    </row>
    <row r="677">
      <c r="A677" s="5"/>
      <c r="B677" s="5"/>
    </row>
    <row r="678">
      <c r="A678" s="5"/>
      <c r="B678" s="5"/>
    </row>
    <row r="679">
      <c r="A679" s="5"/>
      <c r="B679" s="5"/>
    </row>
    <row r="680">
      <c r="A680" s="5"/>
      <c r="B680" s="5"/>
    </row>
    <row r="681">
      <c r="A681" s="5"/>
      <c r="B681" s="5"/>
    </row>
    <row r="682">
      <c r="A682" s="5"/>
      <c r="B682" s="5"/>
    </row>
    <row r="683">
      <c r="A683" s="5"/>
      <c r="B683" s="5"/>
    </row>
    <row r="684">
      <c r="A684" s="5"/>
      <c r="B684" s="5"/>
    </row>
    <row r="685">
      <c r="A685" s="5"/>
      <c r="B685" s="5"/>
    </row>
    <row r="686">
      <c r="A686" s="5"/>
      <c r="B686" s="5"/>
    </row>
    <row r="687">
      <c r="A687" s="5"/>
      <c r="B687" s="5"/>
    </row>
    <row r="688">
      <c r="A688" s="5"/>
      <c r="B688" s="5"/>
    </row>
    <row r="689">
      <c r="A689" s="5"/>
      <c r="B689" s="5"/>
    </row>
    <row r="690">
      <c r="A690" s="5"/>
      <c r="B690" s="5"/>
    </row>
    <row r="691">
      <c r="A691" s="5"/>
      <c r="B691" s="5"/>
    </row>
    <row r="692">
      <c r="A692" s="5"/>
      <c r="B692" s="5"/>
    </row>
    <row r="693">
      <c r="A693" s="5"/>
      <c r="B693" s="5"/>
    </row>
    <row r="694">
      <c r="A694" s="5"/>
      <c r="B694" s="5"/>
    </row>
    <row r="695">
      <c r="A695" s="5"/>
      <c r="B695" s="5"/>
    </row>
    <row r="696">
      <c r="A696" s="5"/>
      <c r="B696" s="5"/>
    </row>
    <row r="697">
      <c r="A697" s="5"/>
      <c r="B697" s="5"/>
    </row>
    <row r="698">
      <c r="A698" s="5"/>
      <c r="B698" s="5"/>
    </row>
    <row r="699">
      <c r="A699" s="5"/>
      <c r="B699" s="5"/>
    </row>
    <row r="700">
      <c r="A700" s="5"/>
      <c r="B700" s="5"/>
    </row>
    <row r="701">
      <c r="A701" s="5"/>
      <c r="B701" s="5"/>
    </row>
    <row r="702">
      <c r="A702" s="5"/>
      <c r="B702" s="5"/>
    </row>
    <row r="703">
      <c r="A703" s="5"/>
      <c r="B703" s="5"/>
    </row>
    <row r="704">
      <c r="A704" s="5"/>
      <c r="B704" s="5"/>
    </row>
    <row r="705">
      <c r="A705" s="5"/>
      <c r="B705" s="5"/>
    </row>
    <row r="706">
      <c r="A706" s="5"/>
      <c r="B706" s="5"/>
    </row>
    <row r="707">
      <c r="A707" s="5"/>
      <c r="B707" s="5"/>
    </row>
    <row r="708">
      <c r="A708" s="5"/>
      <c r="B708" s="5"/>
    </row>
    <row r="709">
      <c r="A709" s="5"/>
      <c r="B709" s="5"/>
    </row>
    <row r="710">
      <c r="A710" s="5"/>
      <c r="B710" s="5"/>
    </row>
    <row r="711">
      <c r="A711" s="5"/>
      <c r="B711" s="5"/>
    </row>
    <row r="712">
      <c r="A712" s="5"/>
      <c r="B712" s="5"/>
    </row>
    <row r="713">
      <c r="A713" s="5"/>
      <c r="B713" s="5"/>
    </row>
    <row r="714">
      <c r="A714" s="5"/>
      <c r="B714" s="5"/>
    </row>
    <row r="715">
      <c r="A715" s="5"/>
      <c r="B715" s="5"/>
    </row>
    <row r="716">
      <c r="A716" s="5"/>
      <c r="B716" s="5"/>
    </row>
    <row r="717">
      <c r="A717" s="5"/>
      <c r="B717" s="5"/>
    </row>
    <row r="718">
      <c r="A718" s="5"/>
      <c r="B718" s="5"/>
    </row>
    <row r="719">
      <c r="A719" s="5"/>
      <c r="B719" s="5"/>
    </row>
    <row r="720">
      <c r="A720" s="5"/>
      <c r="B720" s="5"/>
    </row>
    <row r="721">
      <c r="A721" s="5"/>
      <c r="B721" s="5"/>
    </row>
    <row r="722">
      <c r="A722" s="5"/>
      <c r="B722" s="5"/>
    </row>
    <row r="723">
      <c r="A723" s="5"/>
      <c r="B723" s="5"/>
    </row>
    <row r="724">
      <c r="A724" s="5"/>
      <c r="B724" s="5"/>
    </row>
    <row r="725">
      <c r="A725" s="5"/>
      <c r="B725" s="5"/>
    </row>
    <row r="726">
      <c r="A726" s="5"/>
      <c r="B726" s="5"/>
    </row>
    <row r="727">
      <c r="A727" s="5"/>
      <c r="B727" s="5"/>
    </row>
    <row r="728">
      <c r="A728" s="5"/>
      <c r="B728" s="5"/>
    </row>
    <row r="729">
      <c r="A729" s="5"/>
      <c r="B729" s="5"/>
    </row>
    <row r="730">
      <c r="A730" s="5"/>
      <c r="B730" s="5"/>
    </row>
    <row r="731">
      <c r="A731" s="5"/>
      <c r="B731" s="5"/>
    </row>
    <row r="732">
      <c r="A732" s="5"/>
      <c r="B732" s="5"/>
    </row>
    <row r="733">
      <c r="A733" s="5"/>
      <c r="B733" s="5"/>
    </row>
    <row r="734">
      <c r="A734" s="5"/>
      <c r="B734" s="5"/>
    </row>
    <row r="735">
      <c r="A735" s="5"/>
      <c r="B735" s="5"/>
    </row>
    <row r="736">
      <c r="A736" s="5"/>
      <c r="B736" s="5"/>
    </row>
    <row r="737">
      <c r="A737" s="5"/>
      <c r="B737" s="5"/>
    </row>
    <row r="738">
      <c r="A738" s="5"/>
      <c r="B738" s="5"/>
    </row>
    <row r="739">
      <c r="A739" s="5"/>
      <c r="B739" s="5"/>
    </row>
    <row r="740">
      <c r="A740" s="5"/>
      <c r="B740" s="5"/>
    </row>
    <row r="741">
      <c r="A741" s="5"/>
      <c r="B741" s="5"/>
    </row>
    <row r="742">
      <c r="A742" s="5"/>
      <c r="B742" s="5"/>
    </row>
    <row r="743">
      <c r="A743" s="5"/>
      <c r="B743" s="5"/>
    </row>
    <row r="744">
      <c r="A744" s="5"/>
      <c r="B744" s="5"/>
    </row>
    <row r="745">
      <c r="A745" s="5"/>
      <c r="B745" s="5"/>
    </row>
    <row r="746">
      <c r="A746" s="5"/>
      <c r="B746" s="5"/>
    </row>
    <row r="747">
      <c r="A747" s="5"/>
      <c r="B747" s="5"/>
    </row>
    <row r="748">
      <c r="A748" s="5"/>
      <c r="B748" s="5"/>
    </row>
    <row r="749">
      <c r="A749" s="5"/>
      <c r="B749" s="5"/>
    </row>
    <row r="750">
      <c r="A750" s="5"/>
      <c r="B750" s="5"/>
    </row>
    <row r="751">
      <c r="A751" s="5"/>
      <c r="B751" s="5"/>
    </row>
    <row r="752">
      <c r="A752" s="5"/>
      <c r="B752" s="5"/>
    </row>
    <row r="753">
      <c r="A753" s="5"/>
      <c r="B753" s="5"/>
    </row>
    <row r="754">
      <c r="A754" s="5"/>
      <c r="B754" s="5"/>
    </row>
    <row r="755">
      <c r="A755" s="5"/>
      <c r="B755" s="5"/>
    </row>
    <row r="756">
      <c r="A756" s="5"/>
      <c r="B756" s="5"/>
    </row>
    <row r="757">
      <c r="A757" s="5"/>
      <c r="B757" s="5"/>
    </row>
    <row r="758">
      <c r="A758" s="5"/>
      <c r="B758" s="5"/>
    </row>
    <row r="759">
      <c r="A759" s="5"/>
      <c r="B759" s="5"/>
    </row>
    <row r="760">
      <c r="A760" s="5"/>
      <c r="B760" s="5"/>
    </row>
    <row r="761">
      <c r="A761" s="5"/>
      <c r="B761" s="5"/>
    </row>
    <row r="762">
      <c r="A762" s="5"/>
      <c r="B762" s="5"/>
    </row>
    <row r="763">
      <c r="A763" s="5"/>
      <c r="B763" s="5"/>
    </row>
    <row r="764">
      <c r="A764" s="5"/>
      <c r="B764" s="5"/>
    </row>
    <row r="765">
      <c r="A765" s="5"/>
      <c r="B765" s="5"/>
    </row>
    <row r="766">
      <c r="A766" s="5"/>
      <c r="B766" s="5"/>
    </row>
    <row r="767">
      <c r="A767" s="5"/>
      <c r="B767" s="5"/>
    </row>
    <row r="768">
      <c r="A768" s="5"/>
      <c r="B768" s="5"/>
    </row>
    <row r="769">
      <c r="A769" s="5"/>
      <c r="B769" s="5"/>
    </row>
    <row r="770">
      <c r="A770" s="5"/>
      <c r="B770" s="5"/>
    </row>
    <row r="771">
      <c r="A771" s="5"/>
      <c r="B771" s="5"/>
    </row>
    <row r="772">
      <c r="A772" s="5"/>
      <c r="B772" s="5"/>
    </row>
    <row r="773">
      <c r="A773" s="5"/>
      <c r="B773" s="5"/>
    </row>
    <row r="774">
      <c r="A774" s="5"/>
      <c r="B774" s="5"/>
    </row>
    <row r="775">
      <c r="A775" s="5"/>
      <c r="B775" s="5"/>
    </row>
    <row r="776">
      <c r="A776" s="5"/>
      <c r="B776" s="5"/>
    </row>
    <row r="777">
      <c r="A777" s="5"/>
      <c r="B777" s="5"/>
    </row>
    <row r="778">
      <c r="A778" s="5"/>
      <c r="B778" s="5"/>
    </row>
    <row r="779">
      <c r="A779" s="5"/>
      <c r="B779" s="5"/>
    </row>
    <row r="780">
      <c r="A780" s="5"/>
      <c r="B780" s="5"/>
    </row>
    <row r="781">
      <c r="A781" s="5"/>
      <c r="B781" s="5"/>
    </row>
    <row r="782">
      <c r="A782" s="5"/>
      <c r="B782" s="5"/>
    </row>
    <row r="783">
      <c r="A783" s="5"/>
      <c r="B783" s="5"/>
    </row>
    <row r="784">
      <c r="A784" s="5"/>
      <c r="B784" s="5"/>
    </row>
    <row r="785">
      <c r="A785" s="5"/>
      <c r="B785" s="5"/>
    </row>
    <row r="786">
      <c r="A786" s="5"/>
      <c r="B786" s="5"/>
    </row>
    <row r="787">
      <c r="A787" s="5"/>
      <c r="B787" s="5"/>
    </row>
    <row r="788">
      <c r="A788" s="5"/>
      <c r="B788" s="5"/>
    </row>
    <row r="789">
      <c r="A789" s="5"/>
      <c r="B789" s="5"/>
    </row>
    <row r="790">
      <c r="A790" s="5"/>
      <c r="B790" s="5"/>
    </row>
    <row r="791">
      <c r="A791" s="5"/>
      <c r="B791" s="5"/>
    </row>
    <row r="792">
      <c r="A792" s="5"/>
      <c r="B792" s="5"/>
    </row>
    <row r="793">
      <c r="A793" s="5"/>
      <c r="B793" s="5"/>
    </row>
    <row r="794">
      <c r="A794" s="5"/>
      <c r="B794" s="5"/>
    </row>
    <row r="795">
      <c r="A795" s="5"/>
      <c r="B795" s="5"/>
    </row>
    <row r="796">
      <c r="A796" s="5"/>
      <c r="B796" s="5"/>
    </row>
    <row r="797">
      <c r="A797" s="5"/>
      <c r="B797" s="5"/>
    </row>
    <row r="798">
      <c r="A798" s="5"/>
      <c r="B798" s="5"/>
    </row>
    <row r="799">
      <c r="A799" s="5"/>
      <c r="B799" s="5"/>
    </row>
    <row r="800">
      <c r="A800" s="5"/>
      <c r="B800" s="5"/>
    </row>
    <row r="801">
      <c r="A801" s="5"/>
      <c r="B801" s="5"/>
    </row>
    <row r="802">
      <c r="A802" s="5"/>
      <c r="B802" s="5"/>
    </row>
    <row r="803">
      <c r="A803" s="5"/>
      <c r="B803" s="5"/>
    </row>
    <row r="804">
      <c r="A804" s="5"/>
      <c r="B804" s="5"/>
    </row>
    <row r="805">
      <c r="A805" s="5"/>
      <c r="B805" s="5"/>
    </row>
    <row r="806">
      <c r="A806" s="5"/>
      <c r="B806" s="5"/>
    </row>
    <row r="807">
      <c r="A807" s="5"/>
      <c r="B807" s="5"/>
    </row>
    <row r="808">
      <c r="A808" s="5"/>
      <c r="B808" s="5"/>
    </row>
    <row r="809">
      <c r="A809" s="5"/>
      <c r="B809" s="5"/>
    </row>
    <row r="810">
      <c r="A810" s="5"/>
      <c r="B810" s="5"/>
    </row>
    <row r="811">
      <c r="A811" s="5"/>
      <c r="B811" s="5"/>
    </row>
    <row r="812">
      <c r="A812" s="5"/>
      <c r="B812" s="5"/>
    </row>
    <row r="813">
      <c r="A813" s="5"/>
      <c r="B813" s="5"/>
    </row>
    <row r="814">
      <c r="A814" s="5"/>
      <c r="B814" s="5"/>
    </row>
    <row r="815">
      <c r="A815" s="5"/>
      <c r="B815" s="5"/>
    </row>
    <row r="816">
      <c r="A816" s="5"/>
      <c r="B816" s="5"/>
    </row>
    <row r="817">
      <c r="A817" s="5"/>
      <c r="B817" s="5"/>
    </row>
    <row r="818">
      <c r="A818" s="5"/>
      <c r="B818" s="5"/>
    </row>
    <row r="819">
      <c r="A819" s="5"/>
      <c r="B819" s="5"/>
    </row>
    <row r="820">
      <c r="A820" s="5"/>
      <c r="B820" s="5"/>
    </row>
    <row r="821">
      <c r="A821" s="5"/>
      <c r="B821" s="5"/>
    </row>
    <row r="822">
      <c r="A822" s="5"/>
      <c r="B822" s="5"/>
    </row>
    <row r="823">
      <c r="A823" s="5"/>
      <c r="B823" s="5"/>
    </row>
    <row r="824">
      <c r="A824" s="5"/>
      <c r="B824" s="5"/>
    </row>
    <row r="825">
      <c r="A825" s="5"/>
      <c r="B825" s="5"/>
    </row>
    <row r="826">
      <c r="A826" s="5"/>
      <c r="B826" s="5"/>
    </row>
    <row r="827">
      <c r="A827" s="5"/>
      <c r="B827" s="5"/>
    </row>
    <row r="828">
      <c r="A828" s="5"/>
      <c r="B828" s="5"/>
    </row>
    <row r="829">
      <c r="A829" s="5"/>
      <c r="B829" s="5"/>
    </row>
    <row r="830">
      <c r="A830" s="5"/>
      <c r="B830" s="5"/>
    </row>
    <row r="831">
      <c r="A831" s="5"/>
      <c r="B831" s="5"/>
    </row>
    <row r="832">
      <c r="A832" s="5"/>
      <c r="B832" s="5"/>
    </row>
    <row r="833">
      <c r="A833" s="5"/>
      <c r="B833" s="5"/>
    </row>
    <row r="834">
      <c r="A834" s="5"/>
      <c r="B834" s="5"/>
    </row>
    <row r="835">
      <c r="A835" s="5"/>
      <c r="B835" s="5"/>
    </row>
    <row r="836">
      <c r="A836" s="5"/>
      <c r="B836" s="5"/>
    </row>
    <row r="837">
      <c r="A837" s="5"/>
      <c r="B837" s="5"/>
    </row>
    <row r="838">
      <c r="A838" s="5"/>
      <c r="B838" s="5"/>
    </row>
    <row r="839">
      <c r="A839" s="5"/>
      <c r="B839" s="5"/>
    </row>
    <row r="840">
      <c r="A840" s="5"/>
      <c r="B840" s="5"/>
    </row>
    <row r="841">
      <c r="A841" s="5"/>
      <c r="B841" s="5"/>
    </row>
    <row r="842">
      <c r="A842" s="5"/>
      <c r="B842" s="5"/>
    </row>
    <row r="843">
      <c r="A843" s="5"/>
      <c r="B843" s="5"/>
    </row>
    <row r="844">
      <c r="A844" s="5"/>
      <c r="B844" s="5"/>
    </row>
    <row r="845">
      <c r="A845" s="5"/>
      <c r="B845" s="5"/>
    </row>
    <row r="846">
      <c r="A846" s="5"/>
      <c r="B846" s="5"/>
    </row>
    <row r="847">
      <c r="A847" s="5"/>
      <c r="B847" s="5"/>
    </row>
    <row r="848">
      <c r="A848" s="5"/>
      <c r="B848" s="5"/>
    </row>
    <row r="849">
      <c r="A849" s="5"/>
      <c r="B849" s="5"/>
    </row>
    <row r="850">
      <c r="A850" s="5"/>
      <c r="B850" s="5"/>
    </row>
    <row r="851">
      <c r="A851" s="5"/>
      <c r="B851" s="5"/>
    </row>
    <row r="852">
      <c r="A852" s="5"/>
      <c r="B852" s="5"/>
    </row>
    <row r="853">
      <c r="A853" s="5"/>
      <c r="B853" s="5"/>
    </row>
    <row r="854">
      <c r="A854" s="5"/>
      <c r="B854" s="5"/>
    </row>
    <row r="855">
      <c r="A855" s="5"/>
      <c r="B855" s="5"/>
    </row>
    <row r="856">
      <c r="A856" s="5"/>
      <c r="B856" s="5"/>
    </row>
    <row r="857">
      <c r="A857" s="5"/>
      <c r="B857" s="5"/>
    </row>
    <row r="858">
      <c r="A858" s="5"/>
      <c r="B858" s="5"/>
    </row>
    <row r="859">
      <c r="A859" s="5"/>
      <c r="B859" s="5"/>
    </row>
    <row r="860">
      <c r="A860" s="5"/>
      <c r="B860" s="5"/>
    </row>
    <row r="861">
      <c r="A861" s="5"/>
      <c r="B861" s="5"/>
    </row>
    <row r="862">
      <c r="A862" s="5"/>
      <c r="B862" s="5"/>
    </row>
    <row r="863">
      <c r="A863" s="5"/>
      <c r="B863" s="5"/>
    </row>
    <row r="864">
      <c r="A864" s="5"/>
      <c r="B864" s="5"/>
    </row>
    <row r="865">
      <c r="A865" s="5"/>
      <c r="B865" s="5"/>
    </row>
    <row r="866">
      <c r="A866" s="5"/>
      <c r="B866" s="5"/>
    </row>
    <row r="867">
      <c r="A867" s="5"/>
      <c r="B867" s="5"/>
    </row>
    <row r="868">
      <c r="A868" s="5"/>
      <c r="B868" s="5"/>
    </row>
    <row r="869">
      <c r="A869" s="5"/>
      <c r="B869" s="5"/>
    </row>
    <row r="870">
      <c r="A870" s="5"/>
      <c r="B870" s="5"/>
    </row>
    <row r="871">
      <c r="A871" s="5"/>
      <c r="B871" s="5"/>
    </row>
    <row r="872">
      <c r="A872" s="5"/>
      <c r="B872" s="5"/>
    </row>
    <row r="873">
      <c r="A873" s="5"/>
      <c r="B873" s="5"/>
    </row>
    <row r="874">
      <c r="A874" s="5"/>
      <c r="B874" s="5"/>
    </row>
    <row r="875">
      <c r="A875" s="5"/>
      <c r="B875" s="5"/>
    </row>
    <row r="876">
      <c r="A876" s="5"/>
      <c r="B876" s="5"/>
    </row>
    <row r="877">
      <c r="A877" s="5"/>
      <c r="B877" s="5"/>
    </row>
    <row r="878">
      <c r="A878" s="5"/>
      <c r="B878" s="5"/>
    </row>
    <row r="879">
      <c r="A879" s="5"/>
      <c r="B879" s="5"/>
    </row>
    <row r="880">
      <c r="A880" s="5"/>
      <c r="B880" s="5"/>
    </row>
    <row r="881">
      <c r="A881" s="5"/>
      <c r="B881" s="5"/>
    </row>
    <row r="882">
      <c r="A882" s="5"/>
      <c r="B882" s="5"/>
    </row>
    <row r="883">
      <c r="A883" s="5"/>
      <c r="B883" s="5"/>
    </row>
    <row r="884">
      <c r="A884" s="5"/>
      <c r="B884" s="5"/>
    </row>
    <row r="885">
      <c r="A885" s="5"/>
      <c r="B885" s="5"/>
    </row>
    <row r="886">
      <c r="A886" s="5"/>
      <c r="B886" s="5"/>
    </row>
    <row r="887">
      <c r="A887" s="5"/>
      <c r="B887" s="5"/>
    </row>
    <row r="888">
      <c r="A888" s="5"/>
      <c r="B888" s="5"/>
    </row>
    <row r="889">
      <c r="A889" s="5"/>
      <c r="B889" s="5"/>
    </row>
    <row r="890">
      <c r="A890" s="5"/>
      <c r="B890" s="5"/>
    </row>
    <row r="891">
      <c r="A891" s="5"/>
      <c r="B891" s="5"/>
    </row>
    <row r="892">
      <c r="A892" s="5"/>
      <c r="B892" s="5"/>
    </row>
    <row r="893">
      <c r="A893" s="5"/>
      <c r="B893" s="5"/>
    </row>
    <row r="894">
      <c r="A894" s="5"/>
      <c r="B894" s="5"/>
    </row>
    <row r="895">
      <c r="A895" s="5"/>
      <c r="B895" s="5"/>
    </row>
    <row r="896">
      <c r="A896" s="5"/>
      <c r="B896" s="5"/>
    </row>
    <row r="897">
      <c r="A897" s="5"/>
      <c r="B897" s="5"/>
    </row>
    <row r="898">
      <c r="A898" s="5"/>
      <c r="B898" s="5"/>
    </row>
    <row r="899">
      <c r="A899" s="5"/>
      <c r="B899" s="5"/>
    </row>
    <row r="900">
      <c r="A900" s="5"/>
      <c r="B900" s="5"/>
    </row>
    <row r="901">
      <c r="A901" s="5"/>
      <c r="B901" s="5"/>
    </row>
    <row r="902">
      <c r="A902" s="5"/>
      <c r="B902" s="5"/>
    </row>
    <row r="903">
      <c r="A903" s="5"/>
      <c r="B903" s="5"/>
    </row>
    <row r="904">
      <c r="A904" s="5"/>
      <c r="B904" s="5"/>
    </row>
    <row r="905">
      <c r="A905" s="5"/>
      <c r="B905" s="5"/>
    </row>
    <row r="906">
      <c r="A906" s="5"/>
      <c r="B906" s="5"/>
    </row>
    <row r="907">
      <c r="A907" s="5"/>
      <c r="B907" s="5"/>
    </row>
    <row r="908">
      <c r="A908" s="5"/>
      <c r="B908" s="5"/>
    </row>
    <row r="909">
      <c r="A909" s="5"/>
      <c r="B909" s="5"/>
    </row>
    <row r="910">
      <c r="A910" s="5"/>
      <c r="B910" s="5"/>
    </row>
    <row r="911">
      <c r="A911" s="5"/>
      <c r="B911" s="5"/>
    </row>
    <row r="912">
      <c r="A912" s="5"/>
      <c r="B912" s="5"/>
    </row>
    <row r="913">
      <c r="A913" s="5"/>
      <c r="B913" s="5"/>
    </row>
    <row r="914">
      <c r="A914" s="5"/>
      <c r="B914" s="5"/>
    </row>
    <row r="915">
      <c r="A915" s="5"/>
      <c r="B915" s="5"/>
    </row>
    <row r="916">
      <c r="A916" s="5"/>
      <c r="B916" s="5"/>
    </row>
    <row r="917">
      <c r="A917" s="5"/>
      <c r="B917" s="5"/>
    </row>
    <row r="918">
      <c r="A918" s="5"/>
      <c r="B918" s="5"/>
    </row>
    <row r="919">
      <c r="A919" s="5"/>
      <c r="B919" s="5"/>
    </row>
    <row r="920">
      <c r="A920" s="5"/>
      <c r="B920" s="5"/>
    </row>
    <row r="921">
      <c r="A921" s="5"/>
      <c r="B921" s="5"/>
    </row>
    <row r="922">
      <c r="A922" s="5"/>
      <c r="B922" s="5"/>
    </row>
    <row r="923">
      <c r="A923" s="5"/>
      <c r="B923" s="5"/>
    </row>
    <row r="924">
      <c r="A924" s="5"/>
      <c r="B924" s="5"/>
    </row>
    <row r="925">
      <c r="A925" s="5"/>
      <c r="B925" s="5"/>
    </row>
    <row r="926">
      <c r="A926" s="5"/>
      <c r="B926" s="5"/>
    </row>
    <row r="927">
      <c r="A927" s="5"/>
      <c r="B927" s="5"/>
    </row>
    <row r="928">
      <c r="A928" s="5"/>
      <c r="B928" s="5"/>
    </row>
    <row r="929">
      <c r="A929" s="5"/>
      <c r="B929" s="5"/>
    </row>
    <row r="930">
      <c r="A930" s="5"/>
      <c r="B930" s="5"/>
    </row>
    <row r="931">
      <c r="A931" s="5"/>
      <c r="B931" s="5"/>
    </row>
    <row r="932">
      <c r="A932" s="5"/>
      <c r="B932" s="5"/>
    </row>
    <row r="933">
      <c r="A933" s="5"/>
      <c r="B933" s="5"/>
    </row>
    <row r="934">
      <c r="A934" s="5"/>
      <c r="B934" s="5"/>
    </row>
    <row r="935">
      <c r="A935" s="5"/>
      <c r="B935" s="5"/>
    </row>
    <row r="936">
      <c r="A936" s="5"/>
      <c r="B936" s="5"/>
    </row>
    <row r="937">
      <c r="A937" s="5"/>
      <c r="B937" s="5"/>
    </row>
    <row r="938">
      <c r="A938" s="5"/>
      <c r="B938" s="5"/>
    </row>
    <row r="939">
      <c r="A939" s="5"/>
      <c r="B939" s="5"/>
    </row>
    <row r="940">
      <c r="A940" s="5"/>
      <c r="B940" s="5"/>
    </row>
    <row r="941">
      <c r="A941" s="5"/>
      <c r="B941" s="5"/>
    </row>
    <row r="942">
      <c r="A942" s="5"/>
      <c r="B942" s="5"/>
    </row>
    <row r="943">
      <c r="A943" s="5"/>
      <c r="B943" s="5"/>
    </row>
    <row r="944">
      <c r="A944" s="5"/>
      <c r="B944" s="5"/>
    </row>
    <row r="945">
      <c r="A945" s="5"/>
      <c r="B945" s="5"/>
    </row>
    <row r="946">
      <c r="A946" s="5"/>
      <c r="B946" s="5"/>
    </row>
    <row r="947">
      <c r="A947" s="5"/>
      <c r="B947" s="5"/>
    </row>
    <row r="948">
      <c r="A948" s="5"/>
      <c r="B948" s="5"/>
    </row>
    <row r="949">
      <c r="A949" s="5"/>
      <c r="B949" s="5"/>
    </row>
    <row r="950">
      <c r="A950" s="5"/>
      <c r="B950" s="5"/>
    </row>
    <row r="951">
      <c r="A951" s="5"/>
      <c r="B951" s="5"/>
    </row>
    <row r="952">
      <c r="A952" s="5"/>
      <c r="B952" s="5"/>
    </row>
    <row r="953">
      <c r="A953" s="5"/>
      <c r="B953" s="5"/>
    </row>
    <row r="954">
      <c r="A954" s="5"/>
      <c r="B954" s="5"/>
    </row>
    <row r="955">
      <c r="A955" s="5"/>
      <c r="B955" s="5"/>
    </row>
    <row r="956">
      <c r="A956" s="5"/>
      <c r="B956" s="5"/>
    </row>
    <row r="957">
      <c r="A957" s="5"/>
      <c r="B957" s="5"/>
    </row>
    <row r="958">
      <c r="A958" s="5"/>
      <c r="B958" s="5"/>
    </row>
    <row r="959">
      <c r="A959" s="5"/>
      <c r="B959" s="5"/>
    </row>
    <row r="960">
      <c r="A960" s="5"/>
      <c r="B960" s="5"/>
    </row>
    <row r="961">
      <c r="A961" s="5"/>
      <c r="B961" s="5"/>
    </row>
    <row r="962">
      <c r="A962" s="5"/>
      <c r="B962" s="5"/>
    </row>
    <row r="963">
      <c r="A963" s="5"/>
      <c r="B963" s="5"/>
    </row>
    <row r="964">
      <c r="A964" s="5"/>
      <c r="B964" s="5"/>
    </row>
    <row r="965">
      <c r="A965" s="5"/>
      <c r="B965" s="5"/>
    </row>
    <row r="966">
      <c r="A966" s="5"/>
      <c r="B966" s="5"/>
    </row>
    <row r="967">
      <c r="A967" s="5"/>
      <c r="B967" s="5"/>
    </row>
    <row r="968">
      <c r="A968" s="5"/>
      <c r="B968" s="5"/>
    </row>
    <row r="969">
      <c r="A969" s="5"/>
      <c r="B969" s="5"/>
    </row>
    <row r="970">
      <c r="A970" s="5"/>
      <c r="B970" s="5"/>
    </row>
    <row r="971">
      <c r="A971" s="5"/>
      <c r="B971" s="5"/>
    </row>
    <row r="972">
      <c r="A972" s="5"/>
      <c r="B972" s="5"/>
    </row>
    <row r="973">
      <c r="A973" s="5"/>
      <c r="B973" s="5"/>
    </row>
    <row r="974">
      <c r="A974" s="5"/>
      <c r="B974" s="5"/>
    </row>
    <row r="975">
      <c r="A975" s="5"/>
      <c r="B975" s="5"/>
    </row>
    <row r="976">
      <c r="A976" s="5"/>
      <c r="B976" s="5"/>
    </row>
    <row r="977">
      <c r="A977" s="5"/>
      <c r="B977" s="5"/>
    </row>
    <row r="978">
      <c r="A978" s="5"/>
      <c r="B978" s="5"/>
    </row>
    <row r="979">
      <c r="A979" s="5"/>
      <c r="B979" s="5"/>
    </row>
    <row r="980">
      <c r="A980" s="5"/>
      <c r="B980" s="5"/>
    </row>
    <row r="981">
      <c r="A981" s="5"/>
      <c r="B981" s="5"/>
    </row>
    <row r="982">
      <c r="A982" s="5"/>
      <c r="B982" s="5"/>
    </row>
    <row r="983">
      <c r="A983" s="5"/>
      <c r="B983" s="5"/>
    </row>
    <row r="984">
      <c r="A984" s="5"/>
      <c r="B984" s="5"/>
    </row>
    <row r="985">
      <c r="A985" s="5"/>
      <c r="B985" s="5"/>
    </row>
    <row r="986">
      <c r="A986" s="5"/>
      <c r="B986" s="5"/>
    </row>
    <row r="987">
      <c r="A987" s="5"/>
      <c r="B987" s="5"/>
    </row>
    <row r="988">
      <c r="A988" s="5"/>
      <c r="B988" s="5"/>
    </row>
    <row r="989">
      <c r="A989" s="5"/>
      <c r="B989" s="5"/>
    </row>
    <row r="990">
      <c r="A990" s="5"/>
      <c r="B990" s="5"/>
    </row>
    <row r="991">
      <c r="A991" s="5"/>
      <c r="B991" s="5"/>
    </row>
    <row r="992">
      <c r="A992" s="5"/>
      <c r="B992" s="5"/>
    </row>
    <row r="993">
      <c r="A993" s="5"/>
      <c r="B993" s="5"/>
    </row>
    <row r="994">
      <c r="A994" s="5"/>
      <c r="B994" s="5"/>
    </row>
    <row r="995">
      <c r="A995" s="5"/>
      <c r="B995" s="5"/>
    </row>
    <row r="996">
      <c r="A996" s="5"/>
      <c r="B996" s="5"/>
    </row>
    <row r="997">
      <c r="A997" s="5"/>
      <c r="B997" s="5"/>
    </row>
    <row r="998">
      <c r="A998" s="5"/>
      <c r="B998" s="5"/>
    </row>
    <row r="999">
      <c r="A999" s="5"/>
      <c r="B999" s="5"/>
    </row>
    <row r="1000">
      <c r="A1000" s="5"/>
      <c r="B1000"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13">
      <c r="D13" s="7"/>
    </row>
  </sheetData>
  <drawing r:id="rId2"/>
  <extLst>
    <ext uri="{3A4CF648-6AED-40f4-86FF-DC5316D8AED3}">
      <x14:slicerList>
        <x14:slicer r:id="rId3"/>
      </x14:slicerList>
    </ext>
  </extLst>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sheetData>
  <autoFilter ref="$A$1:$B$102">
    <sortState ref="A1:B102">
      <sortCondition ref="A1:A102"/>
    </sortState>
  </autoFilter>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row r="11"/>
    <row r="12"/>
    <row r="13"/>
    <row r="14"/>
    <row r="15"/>
    <row r="16"/>
    <row r="17"/>
    <row r="18"/>
    <row r="19"/>
  </sheetData>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hidden="1"/>
  </sheetData>
  <autoFilter ref="$A$1:$B$7">
    <filterColumn colId="0">
      <filters>
        <filter val="Team Lead"/>
        <filter val="Analyst"/>
        <filter val="Executive"/>
        <filter val="Manager"/>
        <filter val="Associate"/>
      </filters>
    </filterColumn>
  </autoFilter>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
        <v>144</v>
      </c>
    </row>
    <row r="3">
      <c r="A3" s="9"/>
      <c r="B3" s="9"/>
      <c r="C3" s="9"/>
      <c r="D3" s="9"/>
      <c r="E3" s="9"/>
      <c r="F3" s="9"/>
      <c r="G3" s="9"/>
      <c r="H3" s="9"/>
      <c r="I3" s="9"/>
      <c r="J3" s="9"/>
      <c r="K3" s="9"/>
      <c r="L3" s="9"/>
      <c r="M3" s="9"/>
      <c r="N3" s="9"/>
      <c r="O3" s="9"/>
    </row>
    <row r="4">
      <c r="A4" s="9"/>
      <c r="B4" s="9"/>
      <c r="C4" s="9"/>
      <c r="D4" s="9"/>
      <c r="E4" s="9"/>
      <c r="F4" s="9"/>
      <c r="G4" s="9"/>
      <c r="H4" s="9"/>
      <c r="I4" s="9"/>
      <c r="J4" s="9"/>
      <c r="K4" s="9"/>
      <c r="L4" s="9"/>
      <c r="M4" s="9"/>
      <c r="N4" s="9"/>
      <c r="O4" s="9"/>
    </row>
    <row r="5">
      <c r="A5" s="9"/>
      <c r="B5" s="9"/>
      <c r="C5" s="9"/>
      <c r="D5" s="9"/>
      <c r="E5" s="9"/>
      <c r="F5" s="9"/>
      <c r="G5" s="9"/>
      <c r="H5" s="9"/>
      <c r="I5" s="9"/>
      <c r="J5" s="9"/>
      <c r="K5" s="9"/>
      <c r="L5" s="9"/>
      <c r="M5" s="9"/>
      <c r="N5" s="9"/>
      <c r="O5" s="9"/>
    </row>
    <row r="6">
      <c r="A6" s="9"/>
      <c r="B6" s="9"/>
      <c r="C6" s="9"/>
      <c r="D6" s="9"/>
      <c r="E6" s="9"/>
      <c r="F6" s="9"/>
      <c r="G6" s="9"/>
      <c r="H6" s="9"/>
      <c r="I6" s="9"/>
      <c r="J6" s="9"/>
      <c r="K6" s="9"/>
      <c r="L6" s="9"/>
      <c r="M6" s="9"/>
      <c r="N6" s="9"/>
      <c r="O6" s="9"/>
    </row>
    <row r="7">
      <c r="A7" s="9"/>
      <c r="B7" s="9"/>
      <c r="C7" s="9"/>
      <c r="D7" s="9"/>
      <c r="E7" s="9"/>
      <c r="F7" s="9"/>
      <c r="G7" s="9"/>
      <c r="H7" s="9"/>
      <c r="I7" s="9"/>
      <c r="J7" s="9"/>
      <c r="K7" s="9"/>
      <c r="L7" s="9"/>
      <c r="M7" s="9"/>
      <c r="N7" s="9"/>
      <c r="O7" s="9"/>
    </row>
    <row r="8">
      <c r="A8" s="9"/>
      <c r="B8" s="9"/>
      <c r="C8" s="9"/>
      <c r="D8" s="9"/>
      <c r="E8" s="9"/>
      <c r="F8" s="9"/>
      <c r="G8" s="9"/>
      <c r="H8" s="9"/>
      <c r="I8" s="9"/>
      <c r="J8" s="9"/>
      <c r="K8" s="9"/>
      <c r="L8" s="9"/>
      <c r="M8" s="9"/>
      <c r="N8" s="9"/>
      <c r="O8" s="9"/>
    </row>
    <row r="9">
      <c r="A9" s="9"/>
      <c r="B9" s="9"/>
      <c r="C9" s="9"/>
      <c r="D9" s="9"/>
      <c r="E9" s="9"/>
      <c r="F9" s="9"/>
      <c r="G9" s="9"/>
      <c r="H9" s="9"/>
      <c r="I9" s="9"/>
      <c r="J9" s="9"/>
      <c r="K9" s="9"/>
      <c r="L9" s="9"/>
      <c r="M9" s="9"/>
      <c r="N9" s="9"/>
      <c r="O9" s="9"/>
    </row>
    <row r="10">
      <c r="A10" s="9"/>
      <c r="B10" s="9"/>
      <c r="C10" s="9"/>
      <c r="D10" s="9"/>
      <c r="E10" s="9"/>
      <c r="F10" s="9"/>
      <c r="G10" s="9"/>
      <c r="H10" s="9"/>
      <c r="I10" s="9"/>
      <c r="J10" s="9"/>
      <c r="K10" s="9"/>
      <c r="L10" s="9"/>
      <c r="M10" s="9"/>
      <c r="N10" s="9"/>
      <c r="O10" s="9"/>
    </row>
    <row r="11">
      <c r="A11" s="9"/>
      <c r="B11" s="9"/>
      <c r="C11" s="9"/>
      <c r="D11" s="9"/>
      <c r="E11" s="9"/>
      <c r="F11" s="9"/>
      <c r="G11" s="9"/>
      <c r="H11" s="9"/>
      <c r="I11" s="9"/>
      <c r="J11" s="9"/>
      <c r="K11" s="9"/>
      <c r="L11" s="9"/>
      <c r="M11" s="9"/>
      <c r="N11" s="9"/>
      <c r="O11" s="9"/>
    </row>
    <row r="12">
      <c r="A12" s="9"/>
      <c r="B12" s="9"/>
      <c r="C12" s="9"/>
      <c r="D12" s="9"/>
      <c r="E12" s="9"/>
      <c r="F12" s="9"/>
      <c r="G12" s="9"/>
      <c r="H12" s="9"/>
      <c r="I12" s="9"/>
      <c r="J12" s="9"/>
      <c r="K12" s="9"/>
      <c r="L12" s="9"/>
      <c r="M12" s="9"/>
      <c r="N12" s="9"/>
      <c r="O12" s="9"/>
    </row>
    <row r="13">
      <c r="A13" s="9"/>
      <c r="B13" s="9"/>
      <c r="C13" s="9"/>
      <c r="D13" s="9"/>
      <c r="E13" s="9"/>
      <c r="F13" s="9"/>
      <c r="G13" s="9"/>
      <c r="H13" s="9"/>
      <c r="I13" s="9"/>
      <c r="J13" s="9"/>
      <c r="K13" s="9"/>
      <c r="L13" s="9"/>
      <c r="M13" s="9"/>
      <c r="N13" s="9"/>
      <c r="O13" s="9"/>
    </row>
    <row r="14">
      <c r="A14" s="9"/>
      <c r="B14" s="9"/>
      <c r="C14" s="9"/>
      <c r="D14" s="9"/>
      <c r="E14" s="9"/>
      <c r="F14" s="9"/>
      <c r="G14" s="9"/>
      <c r="H14" s="9"/>
      <c r="I14" s="9"/>
      <c r="J14" s="9"/>
      <c r="K14" s="9"/>
      <c r="L14" s="9"/>
      <c r="M14" s="9"/>
      <c r="N14" s="9"/>
      <c r="O14" s="9"/>
    </row>
    <row r="15">
      <c r="A15" s="9"/>
      <c r="B15" s="9"/>
      <c r="C15" s="9"/>
      <c r="D15" s="9"/>
      <c r="E15" s="9"/>
      <c r="F15" s="9"/>
      <c r="G15" s="9"/>
      <c r="H15" s="9"/>
      <c r="I15" s="9"/>
      <c r="J15" s="9"/>
      <c r="K15" s="9"/>
      <c r="L15" s="9"/>
      <c r="M15" s="9"/>
      <c r="N15" s="9"/>
      <c r="O15" s="9"/>
    </row>
    <row r="16">
      <c r="A16" s="9"/>
      <c r="B16" s="9"/>
      <c r="C16" s="9"/>
      <c r="D16" s="9"/>
      <c r="E16" s="9"/>
      <c r="F16" s="9"/>
      <c r="G16" s="9"/>
      <c r="H16" s="9"/>
      <c r="I16" s="9"/>
      <c r="J16" s="9"/>
      <c r="K16" s="9"/>
      <c r="L16" s="9"/>
      <c r="M16" s="9"/>
      <c r="N16" s="9"/>
      <c r="O16" s="9"/>
    </row>
    <row r="17">
      <c r="A17" s="9"/>
      <c r="B17" s="9"/>
      <c r="C17" s="9"/>
      <c r="D17" s="9"/>
      <c r="E17" s="9"/>
      <c r="F17" s="9"/>
      <c r="G17" s="9"/>
      <c r="H17" s="9"/>
      <c r="I17" s="9"/>
      <c r="J17" s="9"/>
      <c r="K17" s="9"/>
      <c r="L17" s="9"/>
      <c r="M17" s="9"/>
      <c r="N17" s="9"/>
      <c r="O17" s="9"/>
    </row>
    <row r="18">
      <c r="A18" s="9"/>
      <c r="B18" s="9"/>
      <c r="C18" s="9"/>
      <c r="D18" s="9"/>
      <c r="E18" s="9"/>
      <c r="F18" s="9"/>
      <c r="G18" s="9"/>
      <c r="H18" s="9"/>
      <c r="I18" s="9"/>
      <c r="J18" s="9"/>
      <c r="K18" s="9"/>
      <c r="L18" s="9"/>
      <c r="M18" s="9"/>
      <c r="N18" s="9"/>
      <c r="O18" s="9"/>
    </row>
    <row r="19">
      <c r="A19" s="9"/>
      <c r="B19" s="9"/>
      <c r="C19" s="9"/>
      <c r="D19" s="9"/>
      <c r="E19" s="9"/>
      <c r="F19" s="9"/>
      <c r="G19" s="9"/>
      <c r="H19" s="9"/>
      <c r="I19" s="9"/>
      <c r="J19" s="9"/>
      <c r="K19" s="9"/>
      <c r="L19" s="9"/>
      <c r="M19" s="9"/>
      <c r="N19" s="9"/>
      <c r="O19" s="9"/>
    </row>
    <row r="20">
      <c r="A20" s="9"/>
      <c r="B20" s="9"/>
      <c r="C20" s="9"/>
      <c r="D20" s="9"/>
      <c r="E20" s="9"/>
      <c r="F20" s="9"/>
      <c r="G20" s="9"/>
      <c r="H20" s="9"/>
      <c r="I20" s="9"/>
      <c r="J20" s="9"/>
      <c r="K20" s="9"/>
      <c r="L20" s="9"/>
      <c r="M20" s="9"/>
      <c r="N20" s="9"/>
      <c r="O20" s="9"/>
    </row>
    <row r="21">
      <c r="A21" s="9"/>
      <c r="B21" s="9"/>
      <c r="C21" s="9"/>
      <c r="D21" s="9"/>
      <c r="E21" s="9"/>
      <c r="F21" s="9"/>
      <c r="G21" s="9"/>
      <c r="H21" s="9"/>
      <c r="I21" s="9"/>
      <c r="J21" s="9"/>
      <c r="K21" s="9"/>
      <c r="L21" s="9"/>
      <c r="M21" s="9"/>
      <c r="N21" s="9"/>
      <c r="O21" s="9"/>
    </row>
    <row r="22">
      <c r="A22" s="9"/>
      <c r="B22" s="9"/>
      <c r="C22" s="9"/>
      <c r="D22" s="9"/>
      <c r="E22" s="9"/>
      <c r="F22" s="9"/>
      <c r="G22" s="9"/>
      <c r="H22" s="9"/>
      <c r="I22" s="9"/>
      <c r="J22" s="9"/>
      <c r="K22" s="9"/>
      <c r="L22" s="9"/>
      <c r="M22" s="9"/>
      <c r="N22" s="9"/>
      <c r="O22" s="9"/>
    </row>
    <row r="23">
      <c r="A23" s="9"/>
      <c r="B23" s="9"/>
      <c r="C23" s="9"/>
      <c r="D23" s="9"/>
      <c r="E23" s="9"/>
      <c r="F23" s="9"/>
      <c r="G23" s="9"/>
      <c r="H23" s="9"/>
      <c r="I23" s="9"/>
      <c r="J23" s="9"/>
      <c r="K23" s="9"/>
      <c r="L23" s="9"/>
      <c r="M23" s="9"/>
      <c r="N23" s="9"/>
      <c r="O23" s="9"/>
    </row>
    <row r="24">
      <c r="A24" s="9"/>
      <c r="B24" s="9"/>
      <c r="C24" s="9"/>
      <c r="D24" s="9"/>
      <c r="E24" s="9"/>
      <c r="F24" s="9"/>
      <c r="G24" s="9"/>
      <c r="H24" s="9"/>
      <c r="I24" s="9"/>
      <c r="J24" s="9"/>
      <c r="K24" s="9"/>
      <c r="L24" s="9"/>
      <c r="M24" s="9"/>
      <c r="N24" s="9"/>
      <c r="O24" s="9"/>
    </row>
    <row r="25">
      <c r="A25" s="9"/>
      <c r="B25" s="9"/>
      <c r="C25" s="9"/>
      <c r="D25" s="9"/>
      <c r="E25" s="9"/>
      <c r="F25" s="9"/>
      <c r="G25" s="9"/>
      <c r="H25" s="9"/>
      <c r="I25" s="9"/>
      <c r="J25" s="9"/>
      <c r="K25" s="9"/>
      <c r="L25" s="9"/>
      <c r="M25" s="9"/>
      <c r="N25" s="9"/>
      <c r="O25" s="9"/>
    </row>
    <row r="26">
      <c r="A26" s="9"/>
      <c r="B26" s="9"/>
      <c r="C26" s="9"/>
      <c r="D26" s="9"/>
      <c r="E26" s="9"/>
      <c r="F26" s="9"/>
      <c r="G26" s="9"/>
      <c r="H26" s="9"/>
      <c r="I26" s="9"/>
      <c r="J26" s="9"/>
      <c r="K26" s="9"/>
      <c r="L26" s="9"/>
      <c r="M26" s="9"/>
      <c r="N26" s="9"/>
      <c r="O26" s="9"/>
    </row>
    <row r="27">
      <c r="A27" s="9"/>
      <c r="B27" s="9"/>
      <c r="C27" s="9"/>
      <c r="D27" s="9"/>
      <c r="E27" s="9"/>
      <c r="F27" s="9"/>
      <c r="G27" s="9"/>
      <c r="H27" s="9"/>
      <c r="I27" s="9"/>
      <c r="J27" s="9"/>
      <c r="K27" s="9"/>
      <c r="L27" s="9"/>
      <c r="M27" s="9"/>
      <c r="N27" s="9"/>
      <c r="O27" s="9"/>
    </row>
    <row r="28">
      <c r="A28" s="9"/>
      <c r="B28" s="9"/>
      <c r="C28" s="9"/>
      <c r="D28" s="9"/>
      <c r="E28" s="9"/>
      <c r="F28" s="9"/>
      <c r="G28" s="9"/>
      <c r="H28" s="9"/>
      <c r="I28" s="9"/>
      <c r="J28" s="9"/>
      <c r="K28" s="9"/>
      <c r="L28" s="9"/>
      <c r="M28" s="9"/>
      <c r="N28" s="9"/>
      <c r="O28" s="9"/>
    </row>
    <row r="29">
      <c r="A29" s="9"/>
      <c r="B29" s="9"/>
      <c r="C29" s="9"/>
      <c r="D29" s="9"/>
      <c r="E29" s="9"/>
      <c r="F29" s="9"/>
      <c r="G29" s="9"/>
      <c r="H29" s="9"/>
      <c r="I29" s="9"/>
      <c r="J29" s="9"/>
      <c r="K29" s="9"/>
      <c r="L29" s="9"/>
      <c r="M29" s="9"/>
      <c r="N29" s="9"/>
      <c r="O29" s="9"/>
    </row>
    <row r="30">
      <c r="A30" s="9"/>
      <c r="B30" s="9"/>
      <c r="C30" s="9"/>
      <c r="D30" s="9"/>
      <c r="E30" s="9"/>
      <c r="F30" s="9"/>
      <c r="G30" s="9"/>
      <c r="H30" s="9"/>
      <c r="I30" s="9"/>
      <c r="J30" s="9"/>
      <c r="K30" s="9"/>
      <c r="L30" s="9"/>
      <c r="M30" s="9"/>
      <c r="N30" s="9"/>
      <c r="O30" s="9"/>
    </row>
    <row r="31">
      <c r="A31" s="9"/>
      <c r="B31" s="9"/>
      <c r="C31" s="9"/>
      <c r="D31" s="9"/>
      <c r="E31" s="9"/>
      <c r="F31" s="9"/>
      <c r="G31" s="9"/>
      <c r="H31" s="9"/>
      <c r="I31" s="9"/>
      <c r="J31" s="9"/>
      <c r="K31" s="9"/>
      <c r="L31" s="9"/>
      <c r="M31" s="9"/>
      <c r="N31" s="9"/>
      <c r="O31" s="9"/>
    </row>
    <row r="32">
      <c r="A32" s="9"/>
      <c r="B32" s="9"/>
      <c r="C32" s="9"/>
      <c r="D32" s="9"/>
      <c r="E32" s="9"/>
      <c r="F32" s="9"/>
      <c r="G32" s="9"/>
      <c r="H32" s="9"/>
      <c r="I32" s="9"/>
      <c r="J32" s="9"/>
      <c r="K32" s="9"/>
      <c r="L32" s="9"/>
      <c r="M32" s="9"/>
      <c r="N32" s="9"/>
      <c r="O32" s="9"/>
    </row>
    <row r="33">
      <c r="A33" s="9"/>
      <c r="B33" s="9"/>
      <c r="C33" s="9"/>
      <c r="D33" s="9"/>
      <c r="E33" s="9"/>
      <c r="F33" s="9"/>
      <c r="G33" s="9"/>
      <c r="H33" s="9"/>
      <c r="I33" s="9"/>
      <c r="J33" s="9"/>
      <c r="K33" s="9"/>
      <c r="L33" s="9"/>
      <c r="M33" s="9"/>
      <c r="N33" s="9"/>
      <c r="O33" s="9"/>
    </row>
    <row r="34">
      <c r="A34" s="9"/>
      <c r="B34" s="9"/>
      <c r="C34" s="9"/>
      <c r="D34" s="9"/>
      <c r="E34" s="9"/>
      <c r="F34" s="9"/>
      <c r="G34" s="9"/>
      <c r="H34" s="9"/>
      <c r="I34" s="9"/>
      <c r="J34" s="9"/>
      <c r="K34" s="9"/>
      <c r="L34" s="9"/>
      <c r="M34" s="9"/>
      <c r="N34" s="9"/>
      <c r="O34" s="9"/>
    </row>
    <row r="35">
      <c r="A35" s="9"/>
      <c r="B35" s="9"/>
      <c r="C35" s="9"/>
      <c r="D35" s="9"/>
      <c r="E35" s="9"/>
      <c r="F35" s="9"/>
      <c r="G35" s="9"/>
      <c r="H35" s="9"/>
      <c r="I35" s="9"/>
      <c r="J35" s="9"/>
      <c r="K35" s="9"/>
      <c r="L35" s="9"/>
      <c r="M35" s="9"/>
      <c r="N35" s="9"/>
      <c r="O35" s="9"/>
    </row>
    <row r="36">
      <c r="A36" s="9"/>
      <c r="B36" s="9"/>
      <c r="C36" s="9"/>
      <c r="D36" s="9"/>
      <c r="E36" s="9"/>
      <c r="F36" s="9"/>
      <c r="G36" s="9"/>
      <c r="H36" s="9"/>
      <c r="I36" s="9"/>
      <c r="J36" s="9"/>
      <c r="K36" s="9"/>
      <c r="L36" s="9"/>
      <c r="M36" s="9"/>
      <c r="N36" s="9"/>
      <c r="O36" s="9"/>
    </row>
    <row r="37">
      <c r="A37" s="9"/>
      <c r="B37" s="9"/>
      <c r="C37" s="9"/>
      <c r="D37" s="9"/>
      <c r="E37" s="9"/>
      <c r="F37" s="9"/>
      <c r="G37" s="9"/>
      <c r="H37" s="9"/>
      <c r="I37" s="9"/>
      <c r="J37" s="9"/>
      <c r="K37" s="9"/>
      <c r="L37" s="9"/>
      <c r="M37" s="9"/>
      <c r="N37" s="9"/>
      <c r="O37" s="9"/>
    </row>
    <row r="38">
      <c r="A38" s="9"/>
      <c r="B38" s="9"/>
      <c r="C38" s="9"/>
      <c r="D38" s="9"/>
      <c r="E38" s="9"/>
      <c r="F38" s="9"/>
      <c r="G38" s="9"/>
      <c r="H38" s="9"/>
      <c r="I38" s="9"/>
      <c r="J38" s="9"/>
      <c r="K38" s="9"/>
      <c r="L38" s="9"/>
      <c r="M38" s="9"/>
      <c r="N38" s="9"/>
      <c r="O38" s="9"/>
    </row>
    <row r="39">
      <c r="A39" s="9"/>
      <c r="B39" s="9"/>
      <c r="C39" s="9"/>
      <c r="D39" s="9"/>
      <c r="E39" s="9"/>
      <c r="F39" s="9"/>
      <c r="G39" s="9"/>
      <c r="H39" s="9"/>
      <c r="I39" s="9"/>
      <c r="J39" s="9"/>
      <c r="K39" s="9"/>
      <c r="L39" s="9"/>
      <c r="M39" s="9"/>
      <c r="N39" s="9"/>
      <c r="O39" s="9"/>
    </row>
    <row r="40">
      <c r="A40" s="9"/>
      <c r="B40" s="9"/>
      <c r="C40" s="9"/>
      <c r="D40" s="9"/>
      <c r="E40" s="9"/>
      <c r="F40" s="9"/>
      <c r="G40" s="9"/>
      <c r="H40" s="9"/>
      <c r="I40" s="9"/>
      <c r="J40" s="9"/>
      <c r="K40" s="9"/>
      <c r="L40" s="9"/>
      <c r="M40" s="9"/>
      <c r="N40" s="9"/>
      <c r="O40" s="9"/>
    </row>
    <row r="41">
      <c r="A41" s="9"/>
      <c r="B41" s="9"/>
      <c r="C41" s="9"/>
      <c r="D41" s="9"/>
      <c r="E41" s="9"/>
      <c r="F41" s="9"/>
      <c r="G41" s="9"/>
      <c r="H41" s="9"/>
      <c r="I41" s="9"/>
      <c r="J41" s="9"/>
      <c r="K41" s="9"/>
      <c r="L41" s="9"/>
      <c r="M41" s="9"/>
      <c r="N41" s="9"/>
      <c r="O41" s="9"/>
    </row>
    <row r="42">
      <c r="A42" s="9"/>
      <c r="B42" s="9"/>
      <c r="C42" s="9"/>
      <c r="D42" s="9"/>
      <c r="E42" s="9"/>
      <c r="F42" s="9"/>
      <c r="G42" s="9"/>
      <c r="H42" s="9"/>
      <c r="I42" s="9"/>
      <c r="J42" s="9"/>
      <c r="K42" s="9"/>
      <c r="L42" s="9"/>
      <c r="M42" s="9"/>
      <c r="N42" s="9"/>
      <c r="O42" s="9"/>
    </row>
    <row r="43">
      <c r="A43" s="9"/>
      <c r="B43" s="9"/>
      <c r="C43" s="9"/>
      <c r="D43" s="9"/>
      <c r="E43" s="9"/>
      <c r="F43" s="9"/>
      <c r="G43" s="9"/>
      <c r="H43" s="9"/>
      <c r="I43" s="9"/>
      <c r="J43" s="9"/>
      <c r="K43" s="9"/>
      <c r="L43" s="9"/>
      <c r="M43" s="9"/>
      <c r="N43" s="9"/>
      <c r="O43" s="9"/>
    </row>
    <row r="44">
      <c r="A44" s="9"/>
      <c r="B44" s="9"/>
      <c r="C44" s="9"/>
      <c r="D44" s="9"/>
      <c r="E44" s="9"/>
      <c r="F44" s="9"/>
      <c r="G44" s="9"/>
      <c r="H44" s="9"/>
      <c r="I44" s="9"/>
      <c r="J44" s="9"/>
      <c r="K44" s="9"/>
      <c r="L44" s="9"/>
      <c r="M44" s="9"/>
      <c r="N44" s="9"/>
      <c r="O44" s="9"/>
    </row>
    <row r="45">
      <c r="A45" s="9"/>
      <c r="B45" s="9"/>
      <c r="C45" s="9"/>
      <c r="D45" s="9"/>
      <c r="E45" s="9"/>
      <c r="F45" s="9"/>
      <c r="G45" s="9"/>
      <c r="H45" s="9"/>
      <c r="I45" s="9"/>
      <c r="J45" s="9"/>
      <c r="K45" s="9"/>
      <c r="L45" s="9"/>
      <c r="M45" s="9"/>
      <c r="N45" s="9"/>
      <c r="O45" s="9"/>
    </row>
    <row r="46">
      <c r="A46" s="9"/>
      <c r="B46" s="9"/>
      <c r="C46" s="9"/>
      <c r="D46" s="9"/>
      <c r="E46" s="9"/>
      <c r="F46" s="9"/>
      <c r="G46" s="9"/>
      <c r="H46" s="9"/>
      <c r="I46" s="9"/>
      <c r="J46" s="9"/>
      <c r="K46" s="9"/>
      <c r="L46" s="9"/>
      <c r="M46" s="9"/>
      <c r="N46" s="9"/>
      <c r="O46" s="9"/>
    </row>
    <row r="47">
      <c r="A47" s="9"/>
      <c r="B47" s="9"/>
      <c r="C47" s="9"/>
      <c r="D47" s="9"/>
      <c r="E47" s="9"/>
      <c r="F47" s="9"/>
      <c r="G47" s="9"/>
      <c r="H47" s="9"/>
      <c r="I47" s="9"/>
      <c r="J47" s="9"/>
      <c r="K47" s="9"/>
      <c r="L47" s="9"/>
      <c r="M47" s="9"/>
      <c r="N47" s="9"/>
      <c r="O47" s="9"/>
    </row>
    <row r="48">
      <c r="A48" s="9"/>
      <c r="B48" s="9"/>
      <c r="C48" s="9"/>
      <c r="D48" s="9"/>
      <c r="E48" s="9"/>
      <c r="F48" s="9"/>
      <c r="G48" s="9"/>
      <c r="H48" s="9"/>
      <c r="I48" s="9"/>
      <c r="J48" s="9"/>
      <c r="K48" s="9"/>
      <c r="L48" s="9"/>
      <c r="M48" s="9"/>
      <c r="N48" s="9"/>
      <c r="O48" s="9"/>
    </row>
    <row r="49">
      <c r="A49" s="9"/>
      <c r="B49" s="9"/>
      <c r="C49" s="9"/>
      <c r="D49" s="9"/>
      <c r="E49" s="9"/>
      <c r="F49" s="9"/>
      <c r="G49" s="9"/>
      <c r="H49" s="9"/>
      <c r="I49" s="9"/>
      <c r="J49" s="9"/>
      <c r="K49" s="9"/>
      <c r="L49" s="9"/>
      <c r="M49" s="9"/>
      <c r="N49" s="9"/>
      <c r="O49" s="9"/>
    </row>
    <row r="50">
      <c r="A50" s="9"/>
      <c r="B50" s="9"/>
      <c r="C50" s="9"/>
      <c r="D50" s="9"/>
      <c r="E50" s="9"/>
      <c r="F50" s="9"/>
      <c r="G50" s="9"/>
      <c r="H50" s="9"/>
      <c r="I50" s="9"/>
      <c r="J50" s="9"/>
      <c r="K50" s="9"/>
      <c r="L50" s="9"/>
      <c r="M50" s="9"/>
      <c r="N50" s="9"/>
      <c r="O50" s="9"/>
    </row>
    <row r="51">
      <c r="A51" s="9"/>
      <c r="B51" s="9"/>
      <c r="C51" s="9"/>
      <c r="D51" s="9"/>
      <c r="E51" s="9"/>
      <c r="F51" s="9"/>
      <c r="G51" s="9"/>
      <c r="H51" s="9"/>
      <c r="I51" s="9"/>
      <c r="J51" s="9"/>
      <c r="K51" s="9"/>
      <c r="L51" s="9"/>
      <c r="M51" s="9"/>
      <c r="N51" s="9"/>
      <c r="O51" s="9"/>
    </row>
  </sheetData>
  <mergeCells count="1">
    <mergeCell ref="A1:O2"/>
  </mergeCells>
  <drawing r:id="rId1"/>
  <extLst>
    <ext uri="{3A4CF648-6AED-40f4-86FF-DC5316D8AED3}">
      <x14:slicerList>
        <x14:slicer r:id="rId2"/>
      </x14:slicerList>
    </ext>
  </extLst>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sheetData>
  <drawing r:id="rId2"/>
</worksheet>
</file>